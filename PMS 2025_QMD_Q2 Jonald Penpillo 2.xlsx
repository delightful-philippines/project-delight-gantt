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AD1A72D-0EE8-41B3-BEC2-65313A483898}" xr6:coauthVersionLast="47" xr6:coauthVersionMax="47" xr10:uidLastSave="{00000000-0000-0000-0000-000000000000}"/>
  <bookViews>
    <workbookView xWindow="-28920" yWindow="-120" windowWidth="29040" windowHeight="15720" tabRatio="913" activeTab="3" xr2:uid="{B1694D12-6BBA-4923-932D-46001A08D377}"/>
  </bookViews>
  <sheets>
    <sheet name="Guide" sheetId="2" r:id="rId1"/>
    <sheet name="Checklist" sheetId="16" r:id="rId2"/>
    <sheet name="Overall" sheetId="14" r:id="rId3"/>
    <sheet name="Jerome" sheetId="25" r:id="rId4"/>
    <sheet name="Settings" sheetId="3" r:id="rId5"/>
  </sheets>
  <externalReferences>
    <externalReference r:id="rId6"/>
    <externalReference r:id="rId7"/>
    <externalReference r:id="rId8"/>
    <externalReference r:id="rId9"/>
  </externalReferences>
  <definedNames>
    <definedName name="__123Graph_A" hidden="1">[1]Graphs!$C$8:$C$18</definedName>
    <definedName name="__123Graph_AGRAPH1" hidden="1">[1]Graphs!$C$8:$C$18</definedName>
    <definedName name="__123Graph_AGRAPH2" hidden="1">[1]Summary!#REF!</definedName>
    <definedName name="__123Graph_AGRAPH3" hidden="1">[1]Summary!#REF!</definedName>
    <definedName name="__123Graph_B" hidden="1">[1]Graphs!$E$8:$E$18</definedName>
    <definedName name="__123Graph_BGRAPH1" hidden="1">[1]Graphs!$E$8:$E$18</definedName>
    <definedName name="__123Graph_C" hidden="1">[1]Graphs!$G$8:$G$18</definedName>
    <definedName name="__123Graph_CGRAPH1" hidden="1">[1]Graphs!$G$8:$G$18</definedName>
    <definedName name="__123Graph_D" hidden="1">[1]Graphs!$I$8:$I$18</definedName>
    <definedName name="__123Graph_DGRAPH1" hidden="1">[1]Graphs!$I$8:$I$18</definedName>
    <definedName name="__123Graph_E" hidden="1">[1]Graphs!$K$8:$K$18</definedName>
    <definedName name="__123Graph_EGRAPH1" hidden="1">[1]Graphs!$K$8:$K$18</definedName>
    <definedName name="__123Graph_X" hidden="1">[1]Graphs!$B$8:$B$18</definedName>
    <definedName name="__123Graph_XGRAPH1" hidden="1">[1]Graphs!$B$8:$B$18</definedName>
    <definedName name="__123Graph_XGRAPH3" hidden="1">[1]Summary!#REF!</definedName>
    <definedName name="_Fill" hidden="1">#REF!</definedName>
    <definedName name="_Sort" hidden="1">[1]Summary!$E$63:$W$92</definedName>
    <definedName name="_Table1_In1" hidden="1">[1]Graphs!$K$5</definedName>
    <definedName name="_Table1_Out" hidden="1">[1]Graphs!$J$7:$K$18</definedName>
    <definedName name="CIQWBGuid" hidden="1">"2cd8126d-26c3-430c-b7fa-a069e3a1fc62"</definedName>
    <definedName name="FormulaChecker.Colour.19" hidden="1">12648447</definedName>
    <definedName name="FormulaChecker.Colour.41" hidden="1">16737843</definedName>
    <definedName name="FormulaChecker.Colour.48" hidden="1">9868950</definedName>
    <definedName name="FormulaChecker.Colour.6" hidden="1">65535</definedName>
    <definedName name="hashpass.admin" hidden="1">"Wuu"</definedName>
    <definedName name="hashpass.corporate" hidden="1">"[ˆC"</definedName>
    <definedName name="hashpass.region" hidden="1">"A"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ist">'[2]Area &amp; Expense list'!$I$16</definedName>
    <definedName name="Manual_Area_List">'[2]Area &amp; Expense list'!$C$3:$C$61</definedName>
    <definedName name="Philippines">[3]Positions!#REF!</definedName>
    <definedName name="Plot_Cash_Dis_Per">'[2]IS budget - Template'!$F$1</definedName>
    <definedName name="Plot_Department">'[2]IS budget - Template'!$C$2</definedName>
    <definedName name="Plot_Location">'[2]IS budget - Template'!$C$1</definedName>
    <definedName name="q" hidden="1">[1]Summary!#REF!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25" l="1"/>
  <c r="I40" i="25"/>
  <c r="I41" i="25"/>
  <c r="I42" i="25"/>
  <c r="I43" i="25"/>
  <c r="I44" i="25"/>
  <c r="I35" i="25"/>
  <c r="I36" i="25"/>
  <c r="I37" i="25"/>
  <c r="I38" i="25"/>
  <c r="I34" i="25"/>
  <c r="I33" i="25"/>
  <c r="I23" i="25"/>
  <c r="I24" i="25"/>
  <c r="I25" i="25"/>
  <c r="I26" i="25"/>
  <c r="I27" i="25"/>
  <c r="I28" i="25"/>
  <c r="I29" i="25"/>
  <c r="I30" i="25"/>
  <c r="I31" i="25"/>
  <c r="I22" i="25"/>
  <c r="I21" i="25"/>
  <c r="I15" i="25"/>
  <c r="I16" i="25"/>
  <c r="I17" i="25"/>
  <c r="I18" i="25"/>
  <c r="I19" i="25"/>
  <c r="I14" i="25"/>
  <c r="I9" i="25"/>
  <c r="I10" i="25"/>
  <c r="I11" i="25"/>
  <c r="I12" i="25"/>
  <c r="I13" i="25"/>
  <c r="I8" i="25"/>
  <c r="J5" i="25" l="1"/>
  <c r="J4" i="25"/>
  <c r="J3" i="25"/>
  <c r="AD7" i="16"/>
  <c r="AE12" i="16"/>
  <c r="AD12" i="16"/>
  <c r="AE11" i="16"/>
  <c r="AD11" i="16"/>
  <c r="AD10" i="16"/>
  <c r="AD9" i="16"/>
  <c r="AE8" i="16"/>
  <c r="AD8" i="16"/>
</calcChain>
</file>

<file path=xl/sharedStrings.xml><?xml version="1.0" encoding="utf-8"?>
<sst xmlns="http://schemas.openxmlformats.org/spreadsheetml/2006/main" count="214" uniqueCount="140">
  <si>
    <t>Quality Unit</t>
  </si>
  <si>
    <t>Internal Audit</t>
  </si>
  <si>
    <t>Software Development</t>
  </si>
  <si>
    <t>Data Security and Operations</t>
  </si>
  <si>
    <t>Internal Auditor</t>
  </si>
  <si>
    <t xml:space="preserve">Data Security </t>
  </si>
  <si>
    <t xml:space="preserve"> Month</t>
  </si>
  <si>
    <t>Gene</t>
  </si>
  <si>
    <t>Chatty</t>
  </si>
  <si>
    <t>Andrea</t>
  </si>
  <si>
    <t>Delbert</t>
  </si>
  <si>
    <t>Trishia</t>
  </si>
  <si>
    <t>Disery</t>
  </si>
  <si>
    <t>New</t>
  </si>
  <si>
    <t>Hazel</t>
  </si>
  <si>
    <t>Xyriz</t>
  </si>
  <si>
    <t>Larry</t>
  </si>
  <si>
    <t>Gerald</t>
  </si>
  <si>
    <t>Chinky</t>
  </si>
  <si>
    <t>Elmer</t>
  </si>
  <si>
    <t>Mark</t>
  </si>
  <si>
    <t>Dwight</t>
  </si>
  <si>
    <t>Randel</t>
  </si>
  <si>
    <t>Jinn</t>
  </si>
  <si>
    <t>Keith</t>
  </si>
  <si>
    <t>Developer 4</t>
  </si>
  <si>
    <t>Glen</t>
  </si>
  <si>
    <t>Allan</t>
  </si>
  <si>
    <t>Jerome</t>
  </si>
  <si>
    <t>Troy</t>
  </si>
  <si>
    <t>Regine</t>
  </si>
  <si>
    <t>Donald</t>
  </si>
  <si>
    <t>Renz</t>
  </si>
  <si>
    <t xml:space="preserve">Total </t>
  </si>
  <si>
    <t>UC</t>
  </si>
  <si>
    <t>July</t>
  </si>
  <si>
    <t>August</t>
  </si>
  <si>
    <t>September</t>
  </si>
  <si>
    <t>October</t>
  </si>
  <si>
    <t>November</t>
  </si>
  <si>
    <t>December</t>
  </si>
  <si>
    <t>NAME</t>
  </si>
  <si>
    <t xml:space="preserve"> PERFORMANCE YEAR </t>
  </si>
  <si>
    <t xml:space="preserve">MONTH </t>
  </si>
  <si>
    <t xml:space="preserve">FINAL SCORE </t>
  </si>
  <si>
    <t>FINAL RATING</t>
  </si>
  <si>
    <t>POSITION</t>
  </si>
  <si>
    <t xml:space="preserve"> EVALUATION DATE </t>
  </si>
  <si>
    <t>IMMEDIATE HEAD</t>
  </si>
  <si>
    <t xml:space="preserve"> SUBMISSION DATE </t>
  </si>
  <si>
    <t>COMPANY</t>
  </si>
  <si>
    <t>BGOC</t>
  </si>
  <si>
    <t>Unit</t>
  </si>
  <si>
    <t>MONTH</t>
  </si>
  <si>
    <t>NUMBER</t>
  </si>
  <si>
    <t>GOAL</t>
  </si>
  <si>
    <t>KPI</t>
  </si>
  <si>
    <t>RATINGS</t>
  </si>
  <si>
    <t>TARGET</t>
  </si>
  <si>
    <t>ACTUAL</t>
  </si>
  <si>
    <t>M%</t>
  </si>
  <si>
    <t>GOAL WEIGHT</t>
  </si>
  <si>
    <t>FINAL SCORE</t>
  </si>
  <si>
    <t xml:space="preserve"> &gt;=N    ( 100% average completion per month) </t>
  </si>
  <si>
    <t>1 - &gt; 2 (93% - 100% Progress Rate, Zero Delay);
2 - 2 (1 – 15 days delay; 69% - 92.99% Progress Rate)
3 -  1 (93% - 100% Progress Rate, Zero Delay);
4 - 1  (1 – 15 days delay; 69% - 92.99% Progress Rate)
5 - 0 ( &gt; 60 days delay; 0% progress)</t>
  </si>
  <si>
    <t>Renz L. Binas</t>
  </si>
  <si>
    <t>April  01 - June 30, 2025</t>
  </si>
  <si>
    <t>DMS Unit</t>
  </si>
  <si>
    <t>Jonald D. Penpillo</t>
  </si>
  <si>
    <t>Junior Software Developer</t>
  </si>
  <si>
    <t>April</t>
  </si>
  <si>
    <t>May</t>
  </si>
  <si>
    <t>June</t>
  </si>
  <si>
    <t>2 - &gt; 2 (93% - 100% Progress Rate, Zero Delay);
2 - 2 (1 – 15 days delay; 69% - 92.99% Progress Rate)
3 -  1 (93% - 100% Progress Rate, Zero Delay);
4 - 1  (1 – 15 days delay; 69% - 92.99% Progress Rate)
5 - 0 ( &gt; 60 days delay; 0% progress)</t>
  </si>
  <si>
    <t>3 - &gt; 2 (93% - 100% Progress Rate, Zero Delay);
2 - 2 (1 – 15 days delay; 69% - 92.99% Progress Rate)
3 -  1 (93% - 100% Progress Rate, Zero Delay);
4 - 1  (1 – 15 days delay; 69% - 92.99% Progress Rate)
5 - 0 ( &gt; 60 days delay; 0% progress)</t>
  </si>
  <si>
    <t>4 - &gt; 2 (93% - 100% Progress Rate, Zero Delay);
2 - 2 (1 – 15 days delay; 69% - 92.99% Progress Rate)
3 -  1 (93% - 100% Progress Rate, Zero Delay);
4 - 1  (1 – 15 days delay; 69% - 92.99% Progress Rate)
5 - 0 ( &gt; 60 days delay; 0% progress)</t>
  </si>
  <si>
    <t>5 - &gt; 2 (93% - 100% Progress Rate, Zero Delay);
2 - 2 (1 – 15 days delay; 69% - 92.99% Progress Rate)
3 -  1 (93% - 100% Progress Rate, Zero Delay);
4 - 1  (1 – 15 days delay; 69% - 92.99% Progress Rate)
5 - 0 ( &gt; 60 days delay; 0% progress)</t>
  </si>
  <si>
    <t>6 - &gt; 2 (93% - 100% Progress Rate, Zero Delay);
2 - 2 (1 – 15 days delay; 69% - 92.99% Progress Rate)
3 -  1 (93% - 100% Progress Rate, Zero Delay);
4 - 1  (1 – 15 days delay; 69% - 92.99% Progress Rate)
5 - 0 ( &gt; 60 days delay; 0% progress)</t>
  </si>
  <si>
    <t>7 - &gt; 2 (93% - 100% Progress Rate, Zero Delay);
2 - 2 (1 – 15 days delay; 69% - 92.99% Progress Rate)
3 -  1 (93% - 100% Progress Rate, Zero Delay);
4 - 1  (1 – 15 days delay; 69% - 92.99% Progress Rate)
5 - 0 ( &gt; 60 days delay; 0% progress)</t>
  </si>
  <si>
    <t>8 - &gt; 2 (93% - 100% Progress Rate, Zero Delay);
2 - 2 (1 – 15 days delay; 69% - 92.99% Progress Rate)
3 -  1 (93% - 100% Progress Rate, Zero Delay);
4 - 1  (1 – 15 days delay; 69% - 92.99% Progress Rate)
5 - 0 ( &gt; 60 days delay; 0% progress)</t>
  </si>
  <si>
    <t>9 - &gt; 2 (93% - 100% Progress Rate, Zero Delay);
2 - 2 (1 – 15 days delay; 69% - 92.99% Progress Rate)
3 -  1 (93% - 100% Progress Rate, Zero Delay);
4 - 1  (1 – 15 days delay; 69% - 92.99% Progress Rate)
5 - 0 ( &gt; 60 days delay; 0% progress)</t>
  </si>
  <si>
    <t>10 - &gt; 2 (93% - 100% Progress Rate, Zero Delay);
2 - 2 (1 – 15 days delay; 69% - 92.99% Progress Rate)
3 -  1 (93% - 100% Progress Rate, Zero Delay);
4 - 1  (1 – 15 days delay; 69% - 92.99% Progress Rate)
5 - 0 ( &gt; 60 days delay; 0% progress)</t>
  </si>
  <si>
    <t>11 - &gt; 2 (93% - 100% Progress Rate, Zero Delay);
2 - 2 (1 – 15 days delay; 69% - 92.99% Progress Rate)
3 -  1 (93% - 100% Progress Rate, Zero Delay);
4 - 1  (1 – 15 days delay; 69% - 92.99% Progress Rate)
5 - 0 ( &gt; 60 days delay; 0% progress)</t>
  </si>
  <si>
    <t>12 - &gt; 2 (93% - 100% Progress Rate, Zero Delay);
2 - 2 (1 – 15 days delay; 69% - 92.99% Progress Rate)
3 -  1 (93% - 100% Progress Rate, Zero Delay);
4 - 1  (1 – 15 days delay; 69% - 92.99% Progress Rate)
5 - 0 ( &gt; 60 days delay; 0% progress)</t>
  </si>
  <si>
    <r>
      <rPr>
        <b/>
        <sz val="11"/>
        <rFont val="Abadi Extra Light"/>
        <family val="2"/>
      </rPr>
      <t>Coordinate with outsourced developers (ProWeaver)</t>
    </r>
    <r>
      <rPr>
        <sz val="11"/>
        <rFont val="Abadi Extra Light"/>
        <family val="2"/>
      </rPr>
      <t>: Assist the development team in converting the design into a live, working website.</t>
    </r>
  </si>
  <si>
    <r>
      <rPr>
        <b/>
        <sz val="11"/>
        <rFont val="Abadi Extra Light"/>
        <family val="2"/>
      </rPr>
      <t>Validate implementation vs. design</t>
    </r>
    <r>
      <rPr>
        <sz val="11"/>
        <rFont val="Abadi Extra Light"/>
        <family val="2"/>
      </rPr>
      <t>: Ensure the final website matches the intended design and branding.</t>
    </r>
  </si>
  <si>
    <r>
      <rPr>
        <b/>
        <sz val="11"/>
        <rFont val="Abadi Extra Light"/>
        <family val="2"/>
      </rPr>
      <t>Support testing and revisions</t>
    </r>
    <r>
      <rPr>
        <sz val="11"/>
        <rFont val="Abadi Extra Light"/>
        <family val="2"/>
      </rPr>
      <t>: Confirm the site works smoothly and reflects required updates before launch.</t>
    </r>
  </si>
  <si>
    <r>
      <rPr>
        <b/>
        <sz val="11"/>
        <rFont val="Abadi Extra Light"/>
        <family val="2"/>
      </rPr>
      <t>Implement file upload feature (images &amp; videos)</t>
    </r>
    <r>
      <rPr>
        <sz val="11"/>
        <rFont val="Abadi Extra Light"/>
        <family val="2"/>
      </rPr>
      <t>: Allow users to upload media files securely.</t>
    </r>
  </si>
  <si>
    <r>
      <rPr>
        <b/>
        <sz val="11"/>
        <rFont val="Abadi Extra Light"/>
        <family val="2"/>
      </rPr>
      <t>Configure email SMTP notifications</t>
    </r>
    <r>
      <rPr>
        <sz val="11"/>
        <rFont val="Abadi Extra Light"/>
        <family val="2"/>
      </rPr>
      <t>: Send confirmations and notifications via email to users and admins.</t>
    </r>
  </si>
  <si>
    <r>
      <rPr>
        <b/>
        <sz val="11"/>
        <rFont val="Abadi Extra Light"/>
        <family val="2"/>
      </rPr>
      <t>Develop user admin panel</t>
    </r>
    <r>
      <rPr>
        <sz val="11"/>
        <rFont val="Abadi Extra Light"/>
        <family val="2"/>
      </rPr>
      <t>: Give users the ability to view their uploaded images/videos.</t>
    </r>
  </si>
  <si>
    <r>
      <rPr>
        <b/>
        <sz val="11"/>
        <rFont val="Abadi Extra Light"/>
        <family val="2"/>
      </rPr>
      <t>Develop super admin panel</t>
    </r>
    <r>
      <rPr>
        <sz val="11"/>
        <rFont val="Abadi Extra Light"/>
        <family val="2"/>
      </rPr>
      <t>: Allow company admins to review submissions and select media for purchase.</t>
    </r>
  </si>
  <si>
    <r>
      <rPr>
        <b/>
        <sz val="11"/>
        <rFont val="Abadi Extra Light"/>
        <family val="2"/>
      </rPr>
      <t>Add informational pages (About, Guidelines, Contact)</t>
    </r>
    <r>
      <rPr>
        <sz val="11"/>
        <rFont val="Abadi Extra Light"/>
        <family val="2"/>
      </rPr>
      <t>: Provide uploaders with instructions and background info.</t>
    </r>
  </si>
  <si>
    <r>
      <rPr>
        <b/>
        <sz val="11"/>
        <rFont val="Abadi Extra Light"/>
        <family val="2"/>
      </rPr>
      <t>Test uploads, admin panels, and email flows</t>
    </r>
    <r>
      <rPr>
        <sz val="11"/>
        <rFont val="Abadi Extra Light"/>
        <family val="2"/>
      </rPr>
      <t>: Verify the system works end-to-end and is stable for public use.</t>
    </r>
  </si>
  <si>
    <t>13 - &gt; 2 (93% - 100% Progress Rate, Zero Delay);
2 - 2 (1 – 15 days delay; 69% - 92.99% Progress Rate)
3 -  1 (93% - 100% Progress Rate, Zero Delay);
4 - 1  (1 – 15 days delay; 69% - 92.99% Progress Rate)
5 - 0 ( &gt; 60 days delay; 0% progress)</t>
  </si>
  <si>
    <t>14 - &gt; 2 (93% - 100% Progress Rate, Zero Delay);
2 - 2 (1 – 15 days delay; 69% - 92.99% Progress Rate)
3 -  1 (93% - 100% Progress Rate, Zero Delay);
4 - 1  (1 – 15 days delay; 69% - 92.99% Progress Rate)
5 - 0 ( &gt; 60 days delay; 0% progress)</t>
  </si>
  <si>
    <t>15 - &gt; 2 (93% - 100% Progress Rate, Zero Delay);
2 - 2 (1 – 15 days delay; 69% - 92.99% Progress Rate)
3 -  1 (93% - 100% Progress Rate, Zero Delay);
4 - 1  (1 – 15 days delay; 69% - 92.99% Progress Rate)
5 - 0 ( &gt; 60 days delay; 0% progress)</t>
  </si>
  <si>
    <t>16 - &gt; 2 (93% - 100% Progress Rate, Zero Delay);
2 - 2 (1 – 15 days delay; 69% - 92.99% Progress Rate)
3 -  1 (93% - 100% Progress Rate, Zero Delay);
4 - 1  (1 – 15 days delay; 69% - 92.99% Progress Rate)
5 - 0 ( &gt; 60 days delay; 0% progress)</t>
  </si>
  <si>
    <t>17 - &gt; 2 (93% - 100% Progress Rate, Zero Delay);
2 - 2 (1 – 15 days delay; 69% - 92.99% Progress Rate)
3 -  1 (93% - 100% Progress Rate, Zero Delay);
4 - 1  (1 – 15 days delay; 69% - 92.99% Progress Rate)
5 - 0 ( &gt; 60 days delay; 0% progress)</t>
  </si>
  <si>
    <t>18 - &gt; 2 (93% - 100% Progress Rate, Zero Delay);
2 - 2 (1 – 15 days delay; 69% - 92.99% Progress Rate)
3 -  1 (93% - 100% Progress Rate, Zero Delay);
4 - 1  (1 – 15 days delay; 69% - 92.99% Progress Rate)
5 - 0 ( &gt; 60 days delay; 0% progress)</t>
  </si>
  <si>
    <t>19 - &gt; 2 (93% - 100% Progress Rate, Zero Delay);
2 - 2 (1 – 15 days delay; 69% - 92.99% Progress Rate)
3 -  1 (93% - 100% Progress Rate, Zero Delay);
4 - 1  (1 – 15 days delay; 69% - 92.99% Progress Rate)
5 - 0 ( &gt; 60 days delay; 0% progress)</t>
  </si>
  <si>
    <t>20 - &gt; 2 (93% - 100% Progress Rate, Zero Delay);
2 - 2 (1 – 15 days delay; 69% - 92.99% Progress Rate)
3 -  1 (93% - 100% Progress Rate, Zero Delay);
4 - 1  (1 – 15 days delay; 69% - 92.99% Progress Rate)
5 - 0 ( &gt; 60 days delay; 0% progress)</t>
  </si>
  <si>
    <t>21 - &gt; 2 (93% - 100% Progress Rate, Zero Delay);
2 - 2 (1 – 15 days delay; 69% - 92.99% Progress Rate)
3 -  1 (93% - 100% Progress Rate, Zero Delay);
4 - 1  (1 – 15 days delay; 69% - 92.99% Progress Rate)
5 - 0 ( &gt; 60 days delay; 0% progress)</t>
  </si>
  <si>
    <t>22 - &gt; 2 (93% - 100% Progress Rate, Zero Delay);
2 - 2 (1 – 15 days delay; 69% - 92.99% Progress Rate)
3 -  1 (93% - 100% Progress Rate, Zero Delay);
4 - 1  (1 – 15 days delay; 69% - 92.99% Progress Rate)
5 - 0 ( &gt; 60 days delay; 0% progress)</t>
  </si>
  <si>
    <r>
      <rPr>
        <b/>
        <sz val="11"/>
        <color theme="1"/>
        <rFont val="Abadi Extra Light"/>
        <family val="2"/>
      </rPr>
      <t>Set up enrollment module database</t>
    </r>
    <r>
      <rPr>
        <sz val="11"/>
        <color theme="1"/>
        <rFont val="Abadi Extra Light"/>
        <family val="2"/>
      </rPr>
      <t>: Make the system capable of recording which employees are enrolled in which courses.</t>
    </r>
  </si>
  <si>
    <r>
      <rPr>
        <b/>
        <sz val="11"/>
        <color theme="1"/>
        <rFont val="Abadi Extra Light"/>
        <family val="2"/>
      </rPr>
      <t>Build enrollment feature</t>
    </r>
    <r>
      <rPr>
        <sz val="11"/>
        <color theme="1"/>
        <rFont val="Abadi Extra Light"/>
        <family val="2"/>
      </rPr>
      <t>: Allow Admins to enroll a single employee into a course.</t>
    </r>
  </si>
  <si>
    <r>
      <rPr>
        <b/>
        <sz val="11"/>
        <color theme="1"/>
        <rFont val="Abadi Extra Light"/>
        <family val="2"/>
      </rPr>
      <t>Build bulk enrollment feature</t>
    </r>
    <r>
      <rPr>
        <sz val="11"/>
        <color theme="1"/>
        <rFont val="Abadi Extra Light"/>
        <family val="2"/>
      </rPr>
      <t>: Save time by letting Admins enroll many employees at once.</t>
    </r>
  </si>
  <si>
    <r>
      <rPr>
        <b/>
        <sz val="11"/>
        <color theme="1"/>
        <rFont val="Abadi Extra Light"/>
        <family val="2"/>
      </rPr>
      <t>Build unenroll feature</t>
    </r>
    <r>
      <rPr>
        <sz val="11"/>
        <color theme="1"/>
        <rFont val="Abadi Extra Light"/>
        <family val="2"/>
      </rPr>
      <t>: Give Admins the option to remove employees from courses when needed.</t>
    </r>
  </si>
  <si>
    <r>
      <rPr>
        <b/>
        <sz val="11"/>
        <color theme="1"/>
        <rFont val="Abadi Extra Light"/>
        <family val="2"/>
      </rPr>
      <t>Create enrollment management page</t>
    </r>
    <r>
      <rPr>
        <sz val="11"/>
        <color theme="1"/>
        <rFont val="Abadi Extra Light"/>
        <family val="2"/>
      </rPr>
      <t>: Provide Admins with a clear page to search, view, and manage enrollments.</t>
    </r>
  </si>
  <si>
    <r>
      <rPr>
        <b/>
        <sz val="11"/>
        <color theme="1"/>
        <rFont val="Abadi Extra Light"/>
        <family val="2"/>
      </rPr>
      <t>Add error messages and confirmation</t>
    </r>
    <r>
      <rPr>
        <sz val="11"/>
        <color theme="1"/>
        <rFont val="Abadi Extra Light"/>
        <family val="2"/>
      </rPr>
      <t>s: Ensure Admins get feedback if actions succeed or fail (e.g., duplicate enrollments).</t>
    </r>
  </si>
  <si>
    <r>
      <rPr>
        <b/>
        <sz val="11"/>
        <color theme="1"/>
        <rFont val="Abadi Extra Light"/>
        <family val="2"/>
      </rPr>
      <t>Test all features</t>
    </r>
    <r>
      <rPr>
        <sz val="11"/>
        <color theme="1"/>
        <rFont val="Abadi Extra Light"/>
        <family val="2"/>
      </rPr>
      <t>: Confirm enrollment, bulk enrollment, and unenrollment all work properly.</t>
    </r>
  </si>
  <si>
    <r>
      <rPr>
        <b/>
        <sz val="11"/>
        <color theme="1"/>
        <rFont val="Abadi Extra Light"/>
        <family val="2"/>
      </rPr>
      <t>Review current system dependencie</t>
    </r>
    <r>
      <rPr>
        <sz val="11"/>
        <color theme="1"/>
        <rFont val="Abadi Extra Light"/>
        <family val="2"/>
      </rPr>
      <t>s: Identify where the Employee Status (New, Lateral, Old) is being used across the system.</t>
    </r>
  </si>
  <si>
    <r>
      <rPr>
        <b/>
        <sz val="11"/>
        <color theme="1"/>
        <rFont val="Abadi Extra Light"/>
        <family val="2"/>
      </rPr>
      <t>Update course creation form</t>
    </r>
    <r>
      <rPr>
        <sz val="11"/>
        <color theme="1"/>
        <rFont val="Abadi Extra Light"/>
        <family val="2"/>
      </rPr>
      <t>: Remove the Employee Status dropdown so it no longer shows when creating a course.</t>
    </r>
  </si>
  <si>
    <r>
      <rPr>
        <b/>
        <sz val="11"/>
        <color theme="1"/>
        <rFont val="Abadi Extra Light"/>
        <family val="2"/>
      </rPr>
      <t>Adjust database and backend logic</t>
    </r>
    <r>
      <rPr>
        <sz val="11"/>
        <color theme="1"/>
        <rFont val="Abadi Extra Light"/>
        <family val="2"/>
      </rPr>
      <t>: Modify or clean up database fields, API endpoints, and rules that rely on Employee Status.</t>
    </r>
  </si>
  <si>
    <r>
      <rPr>
        <b/>
        <sz val="11"/>
        <color theme="1"/>
        <rFont val="Abadi Extra Light"/>
        <family val="2"/>
      </rPr>
      <t>Update related functions</t>
    </r>
    <r>
      <rPr>
        <sz val="11"/>
        <color theme="1"/>
        <rFont val="Abadi Extra Light"/>
        <family val="2"/>
      </rPr>
      <t>: Ensure other features that used Employee Status (like enrollment or filtering) continue to work without errors.</t>
    </r>
  </si>
  <si>
    <r>
      <rPr>
        <b/>
        <sz val="11"/>
        <color theme="1"/>
        <rFont val="Abadi Extra Light"/>
        <family val="2"/>
      </rPr>
      <t>Test course creation and enrollment</t>
    </r>
    <r>
      <rPr>
        <sz val="11"/>
        <color theme="1"/>
        <rFont val="Abadi Extra Light"/>
        <family val="2"/>
      </rPr>
      <t>: Confirm that removing Employee Status does not break adding courses or enrolling employees.</t>
    </r>
  </si>
  <si>
    <r>
      <rPr>
        <b/>
        <sz val="11"/>
        <rFont val="Abadi Extra Light"/>
        <family val="2"/>
      </rPr>
      <t>Design landing page in Figma</t>
    </r>
    <r>
      <rPr>
        <sz val="11"/>
        <rFont val="Abadi Extra Light"/>
        <family val="2"/>
      </rPr>
      <t xml:space="preserve">: Provide a visual concept for the </t>
    </r>
    <r>
      <rPr>
        <b/>
        <sz val="11"/>
        <rFont val="Abadi Extra Light"/>
        <family val="2"/>
      </rPr>
      <t>Delightful Philippines website</t>
    </r>
    <r>
      <rPr>
        <sz val="11"/>
        <rFont val="Abadi Extra Light"/>
        <family val="2"/>
      </rPr>
      <t xml:space="preserve"> highlighting destinations and travel news. </t>
    </r>
    <r>
      <rPr>
        <u/>
        <sz val="11"/>
        <rFont val="Abadi Extra Light"/>
        <family val="2"/>
      </rPr>
      <t>https://www.delightful.ph/</t>
    </r>
  </si>
  <si>
    <r>
      <rPr>
        <b/>
        <sz val="11"/>
        <color theme="1"/>
        <rFont val="Abadi Extra Light"/>
        <family val="2"/>
      </rPr>
      <t>Set up project in CodeIgniter 3</t>
    </r>
    <r>
      <rPr>
        <sz val="11"/>
        <color theme="1"/>
        <rFont val="Abadi Extra Light"/>
        <family val="2"/>
      </rPr>
      <t xml:space="preserve">: Build the foundation for the uploading website. </t>
    </r>
    <r>
      <rPr>
        <u/>
        <sz val="11"/>
        <color theme="1"/>
        <rFont val="Abadi Extra Light"/>
        <family val="2"/>
      </rPr>
      <t>https://delyt.net/</t>
    </r>
  </si>
  <si>
    <r>
      <rPr>
        <b/>
        <sz val="11"/>
        <color theme="1"/>
        <rFont val="Abadi Extra Light"/>
        <family val="2"/>
      </rPr>
      <t>Convert PNG/JPG logo of Delightful Philippines to format</t>
    </r>
    <r>
      <rPr>
        <sz val="11"/>
        <color theme="1"/>
        <rFont val="Abadi Extra Light"/>
        <family val="2"/>
      </rPr>
      <t>: Ensure the logo is high-quality, scalable, and usable across all social media platforms.</t>
    </r>
  </si>
  <si>
    <r>
      <rPr>
        <b/>
        <sz val="11"/>
        <color rgb="FF000000"/>
        <rFont val="Abadi Extra Light"/>
        <family val="2"/>
      </rPr>
      <t>Redesign Delightful Philippines Landing Page (OTA Implementation</t>
    </r>
    <r>
      <rPr>
        <sz val="11"/>
        <color rgb="FF000000"/>
        <rFont val="Abadi Extra Light"/>
        <family val="2"/>
      </rPr>
      <t>: Create a refreshed design that integrates Online Travel Agency (OTA) features.</t>
    </r>
  </si>
  <si>
    <r>
      <rPr>
        <b/>
        <sz val="11"/>
        <color theme="1"/>
        <rFont val="Abadi Extra Light"/>
        <family val="2"/>
      </rPr>
      <t>Add OTA-specific UI elements</t>
    </r>
    <r>
      <rPr>
        <sz val="11"/>
        <color theme="1"/>
        <rFont val="Abadi Extra Light"/>
        <family val="2"/>
      </rPr>
      <t>: Include search, booking, and travel-related modules in the design.</t>
    </r>
  </si>
  <si>
    <t>23 - &gt; 2 (93% - 100% Progress Rate, Zero Delay);
2 - 2 (1 – 15 days delay; 69% - 92.99% Progress Rate)
3 -  1 (93% - 100% Progress Rate, Zero Delay);
4 - 1  (1 – 15 days delay; 69% - 92.99% Progress Rate)
5 - 0 ( &gt; 60 days delay; 0% progress)</t>
  </si>
  <si>
    <t>24 - &gt; 2 (93% - 100% Progress Rate, Zero Delay);
2 - 2 (1 – 15 days delay; 69% - 92.99% Progress Rate)
3 -  1 (93% - 100% Progress Rate, Zero Delay);
4 - 1  (1 – 15 days delay; 69% - 92.99% Progress Rate)
5 - 0 ( &gt; 60 days delay; 0% progress)</t>
  </si>
  <si>
    <t>25 - &gt; 2 (93% - 100% Progress Rate, Zero Delay);
2 - 2 (1 – 15 days delay; 69% - 92.99% Progress Rate)
3 -  1 (93% - 100% Progress Rate, Zero Delay);
4 - 1  (1 – 15 days delay; 69% - 92.99% Progress Rate)
5 - 0 ( &gt; 60 days delay; 0% progress)</t>
  </si>
  <si>
    <t>26 - &gt; 2 (93% - 100% Progress Rate, Zero Delay);
2 - 2 (1 – 15 days delay; 69% - 92.99% Progress Rate)
3 -  1 (93% - 100% Progress Rate, Zero Delay);
4 - 1  (1 – 15 days delay; 69% - 92.99% Progress Rate)
5 - 0 ( &gt; 60 days delay; 0% progress)</t>
  </si>
  <si>
    <t>27 - &gt; 2 (93% - 100% Progress Rate, Zero Delay);
2 - 2 (1 – 15 days delay; 69% - 92.99% Progress Rate)
3 -  1 (93% - 100% Progress Rate, Zero Delay);
4 - 1  (1 – 15 days delay; 69% - 92.99% Progress Rate)
5 - 0 ( &gt; 60 days delay; 0% progress)</t>
  </si>
  <si>
    <t>28 - &gt; 2 (93% - 100% Progress Rate, Zero Delay);
2 - 2 (1 – 15 days delay; 69% - 92.99% Progress Rate)
3 -  1 (93% - 100% Progress Rate, Zero Delay);
4 - 1  (1 – 15 days delay; 69% - 92.99% Progress Rate)
5 - 0 ( &gt; 60 days delay; 0% progress)</t>
  </si>
  <si>
    <t>29 - &gt; 2 (93% - 100% Progress Rate, Zero Delay);
2 - 2 (1 – 15 days delay; 69% - 92.99% Progress Rate)
3 -  1 (93% - 100% Progress Rate, Zero Delay);
4 - 1  (1 – 15 days delay; 69% - 92.99% Progress Rate)
5 - 0 ( &gt; 60 days delay; 0% progress)</t>
  </si>
  <si>
    <t>30 - &gt; 2 (93% - 100% Progress Rate, Zero Delay);
2 - 2 (1 – 15 days delay; 69% - 92.99% Progress Rate)
3 -  1 (93% - 100% Progress Rate, Zero Delay);
4 - 1  (1 – 15 days delay; 69% - 92.99% Progress Rate)
5 - 0 ( &gt; 60 days delay; 0% progress)</t>
  </si>
  <si>
    <t>31 - &gt; 2 (93% - 100% Progress Rate, Zero Delay);
2 - 2 (1 – 15 days delay; 69% - 92.99% Progress Rate)
3 -  1 (93% - 100% Progress Rate, Zero Delay);
4 - 1  (1 – 15 days delay; 69% - 92.99% Progress Rate)
5 - 0 ( &gt; 60 days delay; 0% progress)</t>
  </si>
  <si>
    <t>32 - &gt; 2 (93% - 100% Progress Rate, Zero Delay);
2 - 2 (1 – 15 days delay; 69% - 92.99% Progress Rate)
3 -  1 (93% - 100% Progress Rate, Zero Delay);
4 - 1  (1 – 15 days delay; 69% - 92.99% Progress Rate)
5 - 0 ( &gt; 60 days delay; 0% progress)</t>
  </si>
  <si>
    <t>33 - &gt; 2 (93% - 100% Progress Rate, Zero Delay);
2 - 2 (1 – 15 days delay; 69% - 92.99% Progress Rate)
3 -  1 (93% - 100% Progress Rate, Zero Delay);
4 - 1  (1 – 15 days delay; 69% - 92.99% Progress Rate)
5 - 0 ( &gt; 60 days delay; 0% progress)</t>
  </si>
  <si>
    <r>
      <rPr>
        <b/>
        <sz val="11"/>
        <color rgb="FF000000"/>
        <rFont val="Abadi Extra Light"/>
        <family val="2"/>
      </rPr>
      <t>Implement cascading dropdown hierarchy</t>
    </r>
    <r>
      <rPr>
        <sz val="11"/>
        <color rgb="FF000000"/>
        <rFont val="Abadi Extra Light"/>
        <family val="2"/>
      </rPr>
      <t>: Make Department filter based on the selected Business Unit, and Position filter based on Department, for a smooth selection process.</t>
    </r>
  </si>
  <si>
    <r>
      <rPr>
        <b/>
        <sz val="11"/>
        <color theme="1"/>
        <rFont val="Abadi Extra Light"/>
        <family val="2"/>
      </rPr>
      <t>Create Structure &amp; System Message for Delai (AI Travel Companion)</t>
    </r>
    <r>
      <rPr>
        <sz val="11"/>
        <color theme="1"/>
        <rFont val="Abadi Extra Light"/>
        <family val="2"/>
      </rPr>
      <t>: Plan how Delai interacts with users as a travel companion.</t>
    </r>
  </si>
  <si>
    <r>
      <rPr>
        <b/>
        <sz val="11"/>
        <color theme="1"/>
        <rFont val="Abadi Extra Light"/>
        <family val="2"/>
      </rPr>
      <t>Design system messages in CodeIgniter 4</t>
    </r>
    <r>
      <rPr>
        <sz val="11"/>
        <color theme="1"/>
        <rFont val="Abadi Extra Light"/>
        <family val="2"/>
      </rPr>
      <t>: Implement base logic for AI responses.</t>
    </r>
  </si>
  <si>
    <r>
      <rPr>
        <b/>
        <sz val="11"/>
        <color theme="1"/>
        <rFont val="Abadi Extra Light"/>
        <family val="2"/>
      </rPr>
      <t>Apply RAG (Retrieval-Augmented Generation) architecture principles</t>
    </r>
    <r>
      <rPr>
        <sz val="11"/>
        <color theme="1"/>
        <rFont val="Abadi Extra Light"/>
        <family val="2"/>
      </rPr>
      <t>: Ensure AI answers are accurate and context-based using external knowledge sources.</t>
    </r>
  </si>
  <si>
    <r>
      <rPr>
        <b/>
        <sz val="11"/>
        <color theme="1"/>
        <rFont val="Abadi Extra Light"/>
        <family val="2"/>
      </rPr>
      <t>Connect Business Units from HRMS</t>
    </r>
    <r>
      <rPr>
        <sz val="11"/>
        <color theme="1"/>
        <rFont val="Abadi Extra Light"/>
        <family val="2"/>
      </rPr>
      <t>: Replace static dropdown with live data from HRMS so Business Unit options are always up to date.</t>
    </r>
  </si>
  <si>
    <r>
      <rPr>
        <b/>
        <sz val="11"/>
        <color theme="1"/>
        <rFont val="Abadi Extra Light"/>
        <family val="2"/>
      </rPr>
      <t>Integrate HRMS Users</t>
    </r>
    <r>
      <rPr>
        <sz val="11"/>
        <color theme="1"/>
        <rFont val="Abadi Extra Light"/>
        <family val="2"/>
      </rPr>
      <t>: Ensure all users in the system come directly from HRMS for consistency and accuracy.</t>
    </r>
  </si>
  <si>
    <r>
      <rPr>
        <b/>
        <sz val="11"/>
        <color theme="1"/>
        <rFont val="Abadi Extra Light"/>
        <family val="2"/>
      </rPr>
      <t>Remove enrollment function references</t>
    </r>
    <r>
      <rPr>
        <sz val="11"/>
        <color theme="1"/>
        <rFont val="Abadi Extra Light"/>
        <family val="2"/>
      </rPr>
      <t>: Adjust related features so the system works properly after enrollment was removed.</t>
    </r>
  </si>
  <si>
    <r>
      <t>F</t>
    </r>
    <r>
      <rPr>
        <b/>
        <sz val="11"/>
        <color theme="1"/>
        <rFont val="Abadi Extra Light"/>
        <family val="2"/>
      </rPr>
      <t>ix input validation (required fields)</t>
    </r>
    <r>
      <rPr>
        <sz val="11"/>
        <color theme="1"/>
        <rFont val="Abadi Extra Light"/>
        <family val="2"/>
      </rPr>
      <t>: Restore required input checks that were broken after AJAX changes.</t>
    </r>
  </si>
  <si>
    <r>
      <rPr>
        <b/>
        <sz val="11"/>
        <color theme="1"/>
        <rFont val="Abadi Extra Light"/>
        <family val="2"/>
      </rPr>
      <t>Add Department &amp; Position from HRMS</t>
    </r>
    <r>
      <rPr>
        <sz val="11"/>
        <color theme="1"/>
        <rFont val="Abadi Extra Light"/>
        <family val="2"/>
      </rPr>
      <t>: Include new dropdowns for Department and Position, also powered by HRMS API.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</si>
</sst>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Abadi Extra Light"/>
      <family val="2"/>
    </font>
    <font>
      <sz val="11"/>
      <color theme="1"/>
      <name val="Abadi Extra Light"/>
      <family val="2"/>
    </font>
    <font>
      <i/>
      <sz val="11"/>
      <color theme="1"/>
      <name val="Abadi Extra Light"/>
      <family val="2"/>
    </font>
    <font>
      <sz val="11"/>
      <color rgb="FF000000"/>
      <name val="Abadi Extra Light"/>
      <family val="2"/>
    </font>
    <font>
      <b/>
      <sz val="11"/>
      <color rgb="FF000000"/>
      <name val="Abadi Extra Light"/>
      <family val="2"/>
    </font>
    <font>
      <sz val="11"/>
      <name val="Abadi Extra Light"/>
      <family val="2"/>
    </font>
    <font>
      <b/>
      <sz val="11"/>
      <name val="Abadi Extra Light"/>
      <family val="2"/>
    </font>
    <font>
      <b/>
      <sz val="11"/>
      <color theme="0"/>
      <name val="Abadi Extra Light"/>
      <family val="2"/>
    </font>
    <font>
      <b/>
      <i/>
      <sz val="11"/>
      <color theme="0"/>
      <name val="Abadi Extra Light"/>
      <family val="2"/>
    </font>
    <font>
      <b/>
      <sz val="11"/>
      <color rgb="FFFFFFFF"/>
      <name val="Abadi Extra Light"/>
      <family val="2"/>
    </font>
    <font>
      <b/>
      <i/>
      <sz val="11"/>
      <color rgb="FFFFFFFF"/>
      <name val="Abadi Extra Light"/>
      <family val="2"/>
    </font>
    <font>
      <b/>
      <sz val="11"/>
      <color theme="1"/>
      <name val="Abadi Extra Light"/>
      <family val="2"/>
    </font>
    <font>
      <i/>
      <sz val="11"/>
      <color rgb="FF000000"/>
      <name val="Abadi Extra Light"/>
      <family val="2"/>
    </font>
    <font>
      <u/>
      <sz val="11"/>
      <name val="Abadi Extra Light"/>
      <family val="2"/>
    </font>
    <font>
      <u/>
      <sz val="11"/>
      <color theme="1"/>
      <name val="Abadi Extra Light"/>
      <family val="2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9">
    <xf numFmtId="0" fontId="0" fillId="0" borderId="0" xfId="0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9" fontId="0" fillId="0" borderId="0" xfId="0" applyNumberFormat="1"/>
    <xf numFmtId="0" fontId="0" fillId="0" borderId="0" xfId="0" applyAlignment="1">
      <alignment horizontal="center"/>
    </xf>
    <xf numFmtId="165" fontId="0" fillId="0" borderId="0" xfId="1" applyNumberFormat="1" applyFont="1"/>
    <xf numFmtId="165" fontId="2" fillId="16" borderId="0" xfId="1" applyNumberFormat="1" applyFont="1" applyFill="1" applyAlignment="1">
      <alignment textRotation="90"/>
    </xf>
    <xf numFmtId="165" fontId="2" fillId="17" borderId="0" xfId="1" applyNumberFormat="1" applyFont="1" applyFill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0" fillId="12" borderId="0" xfId="0" applyFill="1" applyAlignment="1">
      <alignment textRotation="90"/>
    </xf>
    <xf numFmtId="0" fontId="0" fillId="13" borderId="0" xfId="0" applyFill="1" applyAlignment="1">
      <alignment textRotation="90"/>
    </xf>
    <xf numFmtId="0" fontId="0" fillId="14" borderId="0" xfId="0" applyFill="1" applyAlignment="1">
      <alignment textRotation="90"/>
    </xf>
    <xf numFmtId="0" fontId="0" fillId="15" borderId="0" xfId="0" applyFill="1" applyAlignment="1">
      <alignment textRotation="90"/>
    </xf>
    <xf numFmtId="0" fontId="2" fillId="11" borderId="5" xfId="0" applyFont="1" applyFill="1" applyBorder="1" applyAlignment="1">
      <alignment horizontal="center" textRotation="90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7" fillId="0" borderId="9" xfId="0" applyFont="1" applyBorder="1"/>
    <xf numFmtId="0" fontId="7" fillId="0" borderId="9" xfId="0" applyFont="1" applyBorder="1" applyAlignment="1">
      <alignment horizontal="center"/>
    </xf>
    <xf numFmtId="9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wrapText="1"/>
    </xf>
    <xf numFmtId="0" fontId="13" fillId="2" borderId="9" xfId="0" applyFont="1" applyFill="1" applyBorder="1"/>
    <xf numFmtId="0" fontId="14" fillId="2" borderId="9" xfId="0" applyFont="1" applyFill="1" applyBorder="1"/>
    <xf numFmtId="0" fontId="15" fillId="3" borderId="9" xfId="0" applyFont="1" applyFill="1" applyBorder="1" applyAlignment="1">
      <alignment vertical="center"/>
    </xf>
    <xf numFmtId="0" fontId="16" fillId="3" borderId="9" xfId="0" applyFont="1" applyFill="1" applyBorder="1" applyAlignment="1">
      <alignment horizontal="left" vertical="center"/>
    </xf>
    <xf numFmtId="0" fontId="13" fillId="11" borderId="9" xfId="0" applyFont="1" applyFill="1" applyBorder="1" applyAlignment="1">
      <alignment horizontal="center"/>
    </xf>
    <xf numFmtId="0" fontId="17" fillId="0" borderId="9" xfId="0" applyFont="1" applyBorder="1"/>
    <xf numFmtId="0" fontId="8" fillId="0" borderId="9" xfId="0" applyFont="1" applyBorder="1"/>
    <xf numFmtId="0" fontId="10" fillId="0" borderId="9" xfId="0" applyFont="1" applyBorder="1" applyAlignment="1">
      <alignment vertical="center"/>
    </xf>
    <xf numFmtId="0" fontId="18" fillId="0" borderId="9" xfId="0" applyFont="1" applyBorder="1" applyAlignment="1">
      <alignment horizontal="left" vertical="center"/>
    </xf>
    <xf numFmtId="164" fontId="7" fillId="0" borderId="9" xfId="1" applyFont="1" applyBorder="1"/>
    <xf numFmtId="14" fontId="18" fillId="0" borderId="9" xfId="0" applyNumberFormat="1" applyFont="1" applyBorder="1" applyAlignment="1">
      <alignment horizontal="left" vertical="center"/>
    </xf>
    <xf numFmtId="164" fontId="17" fillId="0" borderId="9" xfId="0" applyNumberFormat="1" applyFont="1" applyBorder="1" applyAlignment="1">
      <alignment horizontal="left" vertical="center"/>
    </xf>
    <xf numFmtId="0" fontId="8" fillId="0" borderId="9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13" fillId="4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wrapText="1"/>
    </xf>
    <xf numFmtId="0" fontId="7" fillId="0" borderId="9" xfId="0" applyFont="1" applyBorder="1" applyAlignment="1">
      <alignment horizontal="center" vertical="center" wrapText="1"/>
    </xf>
    <xf numFmtId="0" fontId="7" fillId="18" borderId="9" xfId="0" applyFont="1" applyFill="1" applyBorder="1" applyAlignment="1">
      <alignment wrapText="1"/>
    </xf>
    <xf numFmtId="0" fontId="11" fillId="0" borderId="9" xfId="1" applyNumberFormat="1" applyFont="1" applyBorder="1" applyAlignment="1">
      <alignment horizontal="center" vertical="center" wrapText="1"/>
    </xf>
    <xf numFmtId="0" fontId="7" fillId="0" borderId="9" xfId="1" applyNumberFormat="1" applyFont="1" applyBorder="1" applyAlignment="1">
      <alignment horizontal="center" vertical="center" wrapText="1"/>
    </xf>
    <xf numFmtId="9" fontId="7" fillId="0" borderId="9" xfId="2" applyFont="1" applyBorder="1" applyAlignment="1">
      <alignment horizontal="center" vertical="center" wrapText="1"/>
    </xf>
    <xf numFmtId="10" fontId="7" fillId="0" borderId="9" xfId="0" applyNumberFormat="1" applyFont="1" applyBorder="1" applyAlignment="1">
      <alignment horizontal="center" vertical="center" wrapText="1"/>
    </xf>
    <xf numFmtId="0" fontId="7" fillId="19" borderId="9" xfId="0" applyFont="1" applyFill="1" applyBorder="1" applyAlignment="1">
      <alignment wrapText="1"/>
    </xf>
    <xf numFmtId="0" fontId="7" fillId="19" borderId="0" xfId="0" applyFont="1" applyFill="1" applyAlignment="1">
      <alignment wrapText="1"/>
    </xf>
    <xf numFmtId="0" fontId="7" fillId="10" borderId="9" xfId="0" applyFont="1" applyFill="1" applyBorder="1"/>
    <xf numFmtId="0" fontId="7" fillId="10" borderId="9" xfId="0" applyFont="1" applyFill="1" applyBorder="1" applyAlignment="1">
      <alignment horizontal="left"/>
    </xf>
    <xf numFmtId="0" fontId="11" fillId="18" borderId="0" xfId="0" applyFont="1" applyFill="1" applyAlignment="1">
      <alignment wrapText="1"/>
    </xf>
    <xf numFmtId="10" fontId="7" fillId="0" borderId="9" xfId="0" applyNumberFormat="1" applyFont="1" applyBorder="1" applyAlignment="1">
      <alignment horizontal="center" vertical="center"/>
    </xf>
    <xf numFmtId="9" fontId="7" fillId="0" borderId="9" xfId="2" applyFont="1" applyBorder="1" applyAlignment="1">
      <alignment horizontal="center" vertical="center"/>
    </xf>
    <xf numFmtId="0" fontId="11" fillId="18" borderId="9" xfId="0" applyFont="1" applyFill="1" applyBorder="1" applyAlignment="1">
      <alignment wrapText="1"/>
    </xf>
    <xf numFmtId="0" fontId="11" fillId="19" borderId="0" xfId="0" applyFont="1" applyFill="1" applyAlignment="1">
      <alignment wrapText="1"/>
    </xf>
    <xf numFmtId="0" fontId="11" fillId="19" borderId="9" xfId="0" applyFont="1" applyFill="1" applyBorder="1" applyAlignment="1">
      <alignment wrapText="1"/>
    </xf>
    <xf numFmtId="9" fontId="7" fillId="0" borderId="9" xfId="2" applyFont="1" applyFill="1" applyBorder="1" applyAlignment="1">
      <alignment horizontal="center" vertical="center"/>
    </xf>
    <xf numFmtId="0" fontId="7" fillId="18" borderId="0" xfId="0" applyFont="1" applyFill="1" applyAlignment="1">
      <alignment wrapText="1"/>
    </xf>
    <xf numFmtId="0" fontId="9" fillId="18" borderId="9" xfId="0" applyFont="1" applyFill="1" applyBorder="1" applyAlignment="1">
      <alignment wrapText="1"/>
    </xf>
  </cellXfs>
  <cellStyles count="5">
    <cellStyle name="Comma" xfId="1" builtinId="3"/>
    <cellStyle name="Comma 2" xfId="3" xr:uid="{5E68F60C-DB21-40E6-A523-00FAC18776CA}"/>
    <cellStyle name="Hyperlink 2" xfId="4" xr:uid="{E26A26C1-487C-4FEF-B0F3-A1A3229E9400}"/>
    <cellStyle name="Normal" xfId="0" builtinId="0"/>
    <cellStyle name="Percent" xfId="2" builtinId="5"/>
  </cellStyles>
  <dxfs count="45">
    <dxf>
      <font>
        <name val="Abadi Extra Light"/>
        <scheme val="none"/>
      </font>
    </dxf>
    <dxf>
      <font>
        <name val="Abadi Extra Light"/>
        <scheme val="none"/>
      </font>
    </dxf>
    <dxf>
      <font>
        <name val="Abadi Extra Light"/>
        <scheme val="none"/>
      </font>
    </dxf>
    <dxf>
      <font>
        <name val="Abadi Extra Light"/>
        <scheme val="none"/>
      </font>
    </dxf>
    <dxf>
      <font>
        <name val="Abadi Extra Light"/>
        <scheme val="none"/>
      </font>
    </dxf>
    <dxf>
      <font>
        <name val="Abadi Extra Light"/>
      </font>
    </dxf>
    <dxf>
      <font>
        <name val="Abadi Extra Light"/>
      </font>
    </dxf>
    <dxf>
      <font>
        <name val="Abadi Extra Light"/>
      </font>
    </dxf>
    <dxf>
      <font>
        <name val="Abadi Extra Light"/>
      </font>
    </dxf>
    <dxf>
      <font>
        <name val="Abadi Extra Light"/>
      </font>
    </dxf>
    <dxf>
      <font>
        <name val="Abadi Extra Light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border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font>
        <name val="Abadi Extra Light"/>
        <scheme val="none"/>
      </font>
    </dxf>
    <dxf>
      <font>
        <name val="Abadi Extra Light"/>
        <scheme val="none"/>
      </font>
    </dxf>
    <dxf>
      <font>
        <name val="Abadi Extra Light"/>
        <scheme val="none"/>
      </font>
    </dxf>
    <dxf>
      <font>
        <name val="Abadi Extra Light"/>
        <scheme val="none"/>
      </font>
    </dxf>
    <dxf>
      <font>
        <name val="Abadi Extra Light"/>
        <scheme val="none"/>
      </font>
    </dxf>
    <dxf>
      <numFmt numFmtId="13" formatCode="0%"/>
    </dxf>
    <dxf>
      <font>
        <color theme="0"/>
      </font>
    </dxf>
    <dxf>
      <font>
        <color theme="0"/>
      </font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34998626667073579"/>
        </patternFill>
      </fill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rigadamail-my.sharepoint.com/Usr/CElliott/mining/Open%20Pit/Fairyland/work_march01/Economics/Lev_anl385b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QUALITY%20MANAGEMENT\Strategic%20Plan%202022\QMD\2024\BUDGET%20%20TEMPLATE%202024%20v.3%20(FRANCIS)%20-%20with%20data%20input_QMD_1.00.xlsx" TargetMode="External"/><Relationship Id="rId1" Type="http://schemas.openxmlformats.org/officeDocument/2006/relationships/externalLinkPath" Target="file:///Z:\QUALITY%20MANAGEMENT\Strategic%20Plan%202022\QMD\2024\BUDGET%20%20TEMPLATE%202024%20v.3%20(FRANCIS)%20-%20with%20data%20input_QMD_1.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rigadamail-my.sharepoint.com/ABS/Projects/LCMC/OBA%20Setup/Setup%20Requirements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gadamail-my.sharepoint.com/personal/donald_gornez_brigada_com_ph/Documents/QMD/from%20Sir%20Renz/PMS%202023_QMD_rev.xlsx" TargetMode="External"/><Relationship Id="rId1" Type="http://schemas.openxmlformats.org/officeDocument/2006/relationships/externalLinkPath" Target="https://brigadamail-my.sharepoint.com/personal/donald_gornez_brigada_com_ph/Documents/QMD/from%20Sir%20Renz/PMS%202023_QMD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ilters"/>
      <sheetName val="Calc"/>
      <sheetName val="Input_Data"/>
      <sheetName val="Grade_Tonnes"/>
      <sheetName val="Graphs"/>
      <sheetName val="Module1"/>
      <sheetName val="Module2"/>
      <sheetName val="21Jan05-13Apr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Cash Budget - FINANCE"/>
      <sheetName val="Cash flow - template"/>
      <sheetName val="CB - Guide and Assumptions"/>
      <sheetName val="IS budget - Template"/>
      <sheetName val="Instruction"/>
      <sheetName val="IS - GUIDE and Assumptions"/>
      <sheetName val="Area &amp; Expense list"/>
      <sheetName val="Salaries"/>
      <sheetName val="Statutory"/>
      <sheetName val="Employees Salaries Budget Entry"/>
      <sheetName val="Sample Opex Breakdown"/>
      <sheetName val="Statutory Computation"/>
      <sheetName val="Employees List"/>
      <sheetName val="Dims"/>
      <sheetName val="OPEX_Data"/>
      <sheetName val="Investing Activity (Depre)"/>
      <sheetName val="Security"/>
      <sheetName val="DevBonus"/>
      <sheetName val="OPEX_1.1"/>
      <sheetName val="OPEX_1.2"/>
      <sheetName val="OPEX_1.3"/>
      <sheetName val="OPEX_1.4"/>
      <sheetName val="OPEX_1.5"/>
      <sheetName val="OPEX_1.6"/>
      <sheetName val="OPEX_1.7"/>
      <sheetName val="OPEX_1.8"/>
      <sheetName val="OPEX_1.9"/>
      <sheetName val="OPEX_2.1"/>
      <sheetName val="OPEX_2.2"/>
      <sheetName val="OPEX_2.3"/>
      <sheetName val="OPEX_2.4"/>
      <sheetName val="OPEX_2.5"/>
      <sheetName val="OPEX_2.6"/>
      <sheetName val="OPEX_2.7"/>
      <sheetName val="OPEX_2.8"/>
      <sheetName val="OPEX_2.9"/>
      <sheetName val="OPEX_3.1"/>
      <sheetName val="OPEX_3.2"/>
      <sheetName val="OPEX_3.3"/>
      <sheetName val="OPEX_3.4"/>
      <sheetName val="OPEX_3.5"/>
      <sheetName val="OPEX_3.6"/>
      <sheetName val="OPEX_3.7"/>
      <sheetName val="Trainings"/>
      <sheetName val="Meetings"/>
      <sheetName val="OPEX_3.8"/>
      <sheetName val="OPEX_3.9"/>
      <sheetName val="OPEX_4.1"/>
      <sheetName val="OPEX_4.2"/>
      <sheetName val="OPEX_4.3"/>
      <sheetName val="OPEX_4.4"/>
      <sheetName val="OPEX_4.5"/>
      <sheetName val="OPEX_4.6"/>
      <sheetName val="OPEX_4.7"/>
      <sheetName val="OPEX_4.8"/>
      <sheetName val="OPEX_4.9"/>
      <sheetName val="OPEX_5.1"/>
      <sheetName val="OPEX_5.2"/>
      <sheetName val="OPEX_5.3"/>
      <sheetName val="OPEX_5.4"/>
      <sheetName val="OPEX_5.5"/>
      <sheetName val="OPEX_5.6"/>
      <sheetName val="OPEX_5.7"/>
      <sheetName val="OPEX_5.8"/>
      <sheetName val="OPEX_5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tion"/>
      <sheetName val="Organzations"/>
      <sheetName val="Jobs"/>
      <sheetName val="Positions"/>
      <sheetName val="Employees"/>
      <sheetName val="Users"/>
      <sheetName val="Workday Calendar"/>
      <sheetName val="Inventory Flexfield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e"/>
      <sheetName val="Disery"/>
      <sheetName val="Chatty"/>
      <sheetName val="Chinky"/>
      <sheetName val="Elmer"/>
      <sheetName val="Hazel"/>
      <sheetName val="Donald"/>
      <sheetName val="Donald_rev"/>
      <sheetName val="Donald_rev (2)"/>
      <sheetName val="Allan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C4">
            <v>0.95</v>
          </cell>
        </row>
        <row r="5">
          <cell r="C5">
            <v>0.9</v>
          </cell>
        </row>
        <row r="6">
          <cell r="C6">
            <v>0.8</v>
          </cell>
        </row>
        <row r="7">
          <cell r="B7">
            <v>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gadamail-my.sharepoint.com/personal/jerome_manrique_brigada_com_ph/Documents/Microsoft%20Teams%20Chat%20Files/PMS%202025_QMD_Q1%20Develeoper%20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 Binas" refreshedDate="45194.55640775463" createdVersion="8" refreshedVersion="8" minRefreshableVersion="3" recordCount="38" xr:uid="{0A9F6E1D-04B3-4100-A335-D7FA0B523A22}">
  <cacheSource type="worksheet">
    <worksheetSource ref="B7:K51" sheet="Donald" r:id="rId2"/>
  </cacheSource>
  <cacheFields count="10">
    <cacheField name="MONTH" numFmtId="0">
      <sharedItems containsBlank="1" count="4">
        <s v="July"/>
        <m/>
        <s v="August"/>
        <s v="September"/>
      </sharedItems>
    </cacheField>
    <cacheField name="NUMBER" numFmtId="0">
      <sharedItems containsString="0" containsBlank="1" containsNumber="1" containsInteger="1" minValue="1" maxValue="12"/>
    </cacheField>
    <cacheField name="GOAL" numFmtId="0">
      <sharedItems containsBlank="1"/>
    </cacheField>
    <cacheField name="KPI" numFmtId="0">
      <sharedItems containsBlank="1"/>
    </cacheField>
    <cacheField name="RATINGS" numFmtId="0">
      <sharedItems containsBlank="1"/>
    </cacheField>
    <cacheField name="TARGET" numFmtId="0">
      <sharedItems containsString="0" containsBlank="1" containsNumber="1" containsInteger="1" minValue="1" maxValue="1"/>
    </cacheField>
    <cacheField name="ACTUAL" numFmtId="0">
      <sharedItems containsString="0" containsBlank="1" containsNumber="1" containsInteger="1" minValue="1" maxValue="1"/>
    </cacheField>
    <cacheField name="M%" numFmtId="0">
      <sharedItems containsString="0" containsBlank="1" containsNumber="1" containsInteger="1" minValue="1" maxValue="1"/>
    </cacheField>
    <cacheField name="GOAL WEIGHT" numFmtId="0">
      <sharedItems containsString="0" containsBlank="1" containsNumber="1" minValue="0.05" maxValue="0.15"/>
    </cacheField>
    <cacheField name="FINAL SCORE" numFmtId="0">
      <sharedItems containsString="0" containsBlank="1" containsNumber="1" minValue="0.05" maxValue="0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n v="1"/>
    <s v="System Threats Detection and Resolution(Sophos Endpoint Security)"/>
    <s v="100% resolve per month"/>
    <s v="1 - 95%-100%_x000a_2 - 90%-94%_x000a_3 - 80%-89%_x000a_4 - 75%-79%_x000a_5 - =&lt;74%"/>
    <n v="1"/>
    <n v="1"/>
    <n v="1"/>
    <n v="0.05"/>
    <n v="0.05"/>
  </r>
  <r>
    <x v="0"/>
    <n v="2"/>
    <s v="Daily Database Back-up-Datawarehouse (On-Premise)"/>
    <s v="100% average completion per month"/>
    <s v="1 - 95%-100%_x000a_2 - 90%-94%_x000a_3 - 80%-89%_x000a_4 - 75%-79%_x000a_5 - =&lt;74%"/>
    <n v="1"/>
    <n v="1"/>
    <n v="1"/>
    <n v="0.05"/>
    <n v="0.05"/>
  </r>
  <r>
    <x v="0"/>
    <n v="3"/>
    <s v="Daily Database Back-up-Datawarehouse (Cloud)"/>
    <s v="100% average completion per month"/>
    <s v="1 - 95%-100%_x000a_2 - 90%-94%_x000a_3 - 80%-89%_x000a_4 - 75%-79%_x000a_5 - =&lt;74%"/>
    <n v="1"/>
    <n v="1"/>
    <n v="1"/>
    <n v="0.05"/>
    <n v="0.05"/>
  </r>
  <r>
    <x v="0"/>
    <n v="4"/>
    <s v="Daily Database Back-up-In-house Apps SQL Databases (On-Premise Production)"/>
    <s v="100% average completion per month"/>
    <s v="1 - 95%-100%_x000a_2 - 90%-94%_x000a_3 - 80%-89%_x000a_4 - 75%-79%_x000a_5 - =&lt;74%"/>
    <n v="1"/>
    <n v="1"/>
    <n v="1"/>
    <n v="0.15"/>
    <n v="0.15"/>
  </r>
  <r>
    <x v="0"/>
    <n v="5"/>
    <s v="Daily Database Back-up-In-house Apps SQL Databases (Cloud-Production)"/>
    <s v="100% average completion per month"/>
    <s v="1 - 95%-100%_x000a_2 - 90%-94%_x000a_3 - 80%-89%_x000a_4 - 75%-79%_x000a_5 - =&lt;74%"/>
    <n v="1"/>
    <n v="1"/>
    <n v="1"/>
    <n v="0.05"/>
    <n v="0.05"/>
  </r>
  <r>
    <x v="0"/>
    <n v="6"/>
    <s v="BPI-Bluegates-Daily Data Extraction for PowerBI"/>
    <s v="100% average completion per month"/>
    <s v="1 - 95%-100%_x000a_2 - 90%-94%_x000a_3 - 80%-89%_x000a_4 - 75%-79%_x000a_5 - =&lt;74%"/>
    <n v="1"/>
    <n v="1"/>
    <n v="1"/>
    <n v="0.05"/>
    <n v="0.05"/>
  </r>
  <r>
    <x v="0"/>
    <n v="7"/>
    <s v="OPS-Daily Data Extraction for PowerBI"/>
    <s v="100% average completion per month"/>
    <s v="1 - 95%-100%_x000a_2 - 90%-94%_x000a_3 - 80%-89%_x000a_4 - 75%-79%_x000a_5 - =&lt;74%"/>
    <n v="1"/>
    <n v="1"/>
    <n v="1"/>
    <n v="0.05"/>
    <n v="0.05"/>
  </r>
  <r>
    <x v="0"/>
    <n v="8"/>
    <s v="System Support Management(Ticket Base-Call, Chat)"/>
    <s v="100% closed ticket per month"/>
    <s v="1 - 95%-100%_x000a_2 - 90%-94%_x000a_3 - 80%-89%_x000a_4 - 75%-79%_x000a_5 - =&lt;74%"/>
    <n v="1"/>
    <n v="1"/>
    <n v="1"/>
    <n v="0.15"/>
    <n v="0.15"/>
  </r>
  <r>
    <x v="0"/>
    <n v="9"/>
    <s v="System Support Management(Ticket Base-Request Forms)"/>
    <s v="100% closed ticket per month"/>
    <s v="1 - 95%-100%_x000a_2 - 90%-94%_x000a_3 - 80%-89%_x000a_4 - 75%-79%_x000a_5 - =&lt;74%"/>
    <n v="1"/>
    <n v="1"/>
    <n v="1"/>
    <n v="0.15"/>
    <n v="0.15"/>
  </r>
  <r>
    <x v="0"/>
    <n v="10"/>
    <s v="System Support Management(User Feedback/Survey)"/>
    <s v="Consolidated and average monthly user feedback/survey rating"/>
    <s v="1 - Excellent_x000a_2 - Very Good_x000a_3 - Good_x000a_4 - Acceptable_x000a_5 - Unacceptable"/>
    <n v="1"/>
    <n v="1"/>
    <n v="1"/>
    <n v="0.05"/>
    <n v="0.05"/>
  </r>
  <r>
    <x v="0"/>
    <n v="11"/>
    <s v="Resources Utilization Monitoring (RDS-SQL DBs, VPS)"/>
    <s v="Monthly average utilization of &lt; 50%"/>
    <s v="1 - =&lt; 50%_x000a_2 - 51%-60%_x000a_3 - 61%-70%_x000a_4 - 71%-80%_x000a_5 - 81% and up"/>
    <n v="1"/>
    <n v="1"/>
    <n v="1"/>
    <n v="0.15"/>
    <n v="0.15"/>
  </r>
  <r>
    <x v="0"/>
    <n v="12"/>
    <s v="MS 365 Sharepoint Storage Utilization"/>
    <s v="Monthly average utilization of &lt; 60%"/>
    <s v="1 - =&lt; 60%_x000a_2 - 61%-70%_x000a_3 - 71%-80%_x000a_4 - 81%-90%_x000a_5 - 91% and up"/>
    <n v="1"/>
    <n v="1"/>
    <n v="1"/>
    <n v="0.05"/>
    <n v="0.05"/>
  </r>
  <r>
    <x v="1"/>
    <m/>
    <m/>
    <m/>
    <m/>
    <m/>
    <m/>
    <m/>
    <m/>
    <m/>
  </r>
  <r>
    <x v="2"/>
    <n v="1"/>
    <s v="System Threats Detection and Resolution(Sophos Endpoint Security)"/>
    <s v="100% resolve per month"/>
    <s v="1 - 95%-100%_x000a_2 - 90%-94%_x000a_3 - 80%-89%_x000a_4 - 75%-79%_x000a_5 - =&lt;74%"/>
    <n v="1"/>
    <n v="1"/>
    <n v="1"/>
    <n v="0.05"/>
    <n v="0.05"/>
  </r>
  <r>
    <x v="2"/>
    <n v="2"/>
    <s v="Daily Database Back-up-Datawarehouse (On-Premise)"/>
    <s v="100% average completion per month"/>
    <s v="1 - 95%-100%_x000a_2 - 90%-94%_x000a_3 - 80%-89%_x000a_4 - 75%-79%_x000a_5 - =&lt;74%"/>
    <n v="1"/>
    <n v="1"/>
    <n v="1"/>
    <n v="0.05"/>
    <n v="0.05"/>
  </r>
  <r>
    <x v="2"/>
    <n v="3"/>
    <s v="Daily Database Back-up-Datawarehouse (Cloud)"/>
    <s v="100% average completion per month"/>
    <s v="1 - 95%-100%_x000a_2 - 90%-94%_x000a_3 - 80%-89%_x000a_4 - 75%-79%_x000a_5 - =&lt;74%"/>
    <n v="1"/>
    <n v="1"/>
    <n v="1"/>
    <n v="0.05"/>
    <n v="0.05"/>
  </r>
  <r>
    <x v="2"/>
    <n v="4"/>
    <s v="Daily Database Back-up-In-house Apps SQL Databases (On-Premise Production)"/>
    <s v="100% average completion per month"/>
    <s v="1 - 95%-100%_x000a_2 - 90%-94%_x000a_3 - 80%-89%_x000a_4 - 75%-79%_x000a_5 - =&lt;74%"/>
    <n v="1"/>
    <n v="1"/>
    <n v="1"/>
    <n v="0.15"/>
    <n v="0.15"/>
  </r>
  <r>
    <x v="2"/>
    <n v="5"/>
    <s v="Daily Database Back-up-In-house Apps SQL Databases (Cloud-Production)"/>
    <s v="100% average completion per month"/>
    <s v="1 - 95%-100%_x000a_2 - 90%-94%_x000a_3 - 80%-89%_x000a_4 - 75%-79%_x000a_5 - =&lt;74%"/>
    <n v="1"/>
    <n v="1"/>
    <n v="1"/>
    <n v="0.05"/>
    <n v="0.05"/>
  </r>
  <r>
    <x v="2"/>
    <n v="6"/>
    <s v="BPI-Bluegates-Daily Data Extraction for PowerBI"/>
    <s v="100% average completion per month"/>
    <s v="1 - 95%-100%_x000a_2 - 90%-94%_x000a_3 - 80%-89%_x000a_4 - 75%-79%_x000a_5 - =&lt;74%"/>
    <n v="1"/>
    <n v="1"/>
    <n v="1"/>
    <n v="0.05"/>
    <n v="0.05"/>
  </r>
  <r>
    <x v="2"/>
    <n v="7"/>
    <s v="OPS-Daily Data Extraction for PowerBI"/>
    <s v="100% average completion per month"/>
    <s v="1 - 95%-100%_x000a_2 - 90%-94%_x000a_3 - 80%-89%_x000a_4 - 75%-79%_x000a_5 - =&lt;74%"/>
    <n v="1"/>
    <n v="1"/>
    <n v="1"/>
    <n v="0.05"/>
    <n v="0.05"/>
  </r>
  <r>
    <x v="2"/>
    <n v="8"/>
    <s v="System Support Management(Ticket Base-Call, Chat)"/>
    <s v="100% closed ticket per month"/>
    <s v="1 - 95%-100%_x000a_2 - 90%-94%_x000a_3 - 80%-89%_x000a_4 - 75%-79%_x000a_5 - =&lt;74%"/>
    <n v="1"/>
    <n v="1"/>
    <n v="1"/>
    <n v="0.15"/>
    <n v="0.15"/>
  </r>
  <r>
    <x v="2"/>
    <n v="9"/>
    <s v="System Support Management(Ticket Base-Request Forms)"/>
    <s v="100% closed ticket per month"/>
    <s v="1 - 95%-100%_x000a_2 - 90%-94%_x000a_3 - 80%-89%_x000a_4 - 75%-79%_x000a_5 - =&lt;74%"/>
    <n v="1"/>
    <n v="1"/>
    <n v="1"/>
    <n v="0.15"/>
    <n v="0.15"/>
  </r>
  <r>
    <x v="2"/>
    <n v="10"/>
    <s v="System Support Management(User Feedback/Survey)"/>
    <s v="Consolidated and average monthly user feedback/survey rating"/>
    <s v="1 - Excellent_x000a_2 - Very Good_x000a_3 - Good_x000a_4 - Acceptable_x000a_5 - Unacceptable"/>
    <n v="1"/>
    <n v="1"/>
    <n v="1"/>
    <n v="0.05"/>
    <n v="0.05"/>
  </r>
  <r>
    <x v="2"/>
    <n v="11"/>
    <s v="Resources Utilization Monitoring (RDS-SQL DBs, VPS)"/>
    <s v="Monthly average utilization of &lt; 50%"/>
    <s v="1 - =&lt; 50%_x000a_2 - 51%-60%_x000a_3 - 61%-70%_x000a_4 - 71%-80%_x000a_5 - 81% and up"/>
    <n v="1"/>
    <n v="1"/>
    <n v="1"/>
    <n v="0.15"/>
    <n v="0.15"/>
  </r>
  <r>
    <x v="2"/>
    <n v="12"/>
    <s v="MS 365 Sharepoint Storage Utilization"/>
    <s v="Monthly average utilization of &lt; 60%"/>
    <s v="1 - =&lt; 60%_x000a_2 - 61%-70%_x000a_3 - 71%-80%_x000a_4 - 81%-90%_x000a_5 - 91% and up"/>
    <n v="1"/>
    <n v="1"/>
    <n v="1"/>
    <n v="0.05"/>
    <n v="0.05"/>
  </r>
  <r>
    <x v="1"/>
    <m/>
    <m/>
    <m/>
    <m/>
    <m/>
    <m/>
    <m/>
    <m/>
    <m/>
  </r>
  <r>
    <x v="3"/>
    <n v="1"/>
    <s v="System Threats Detection and Resolution(Sophos Endpoint Security)"/>
    <s v="100% resolve per month"/>
    <s v="1 - 95%-100%_x000a_2 - 90%-94%_x000a_3 - 80%-89%_x000a_4 - 75%-79%_x000a_5 - =&lt;74%"/>
    <n v="1"/>
    <n v="1"/>
    <n v="1"/>
    <n v="0.05"/>
    <n v="0.05"/>
  </r>
  <r>
    <x v="3"/>
    <n v="2"/>
    <s v="Daily Database Back-up-Datawarehouse (On-Premise)"/>
    <s v="100% average completion per month"/>
    <s v="1 - 95%-100%_x000a_2 - 90%-94%_x000a_3 - 80%-89%_x000a_4 - 75%-79%_x000a_5 - =&lt;74%"/>
    <n v="1"/>
    <n v="1"/>
    <n v="1"/>
    <n v="0.05"/>
    <n v="0.05"/>
  </r>
  <r>
    <x v="3"/>
    <n v="3"/>
    <s v="Daily Database Back-up-Datawarehouse (Cloud)"/>
    <s v="100% average completion per month"/>
    <s v="1 - 95%-100%_x000a_2 - 90%-94%_x000a_3 - 80%-89%_x000a_4 - 75%-79%_x000a_5 - =&lt;74%"/>
    <n v="1"/>
    <n v="1"/>
    <n v="1"/>
    <n v="0.05"/>
    <n v="0.05"/>
  </r>
  <r>
    <x v="3"/>
    <n v="4"/>
    <s v="Daily Database Back-up-In-house Apps SQL Databases (On-Premise Production)"/>
    <s v="100% average completion per month"/>
    <s v="1 - 95%-100%_x000a_2 - 90%-94%_x000a_3 - 80%-89%_x000a_4 - 75%-79%_x000a_5 - =&lt;74%"/>
    <n v="1"/>
    <n v="1"/>
    <n v="1"/>
    <n v="0.15"/>
    <n v="0.15"/>
  </r>
  <r>
    <x v="3"/>
    <n v="5"/>
    <s v="Daily Database Back-up-In-house Apps SQL Databases (Cloud-Production)"/>
    <s v="100% average completion per month"/>
    <s v="1 - 95%-100%_x000a_2 - 90%-94%_x000a_3 - 80%-89%_x000a_4 - 75%-79%_x000a_5 - =&lt;74%"/>
    <n v="1"/>
    <n v="1"/>
    <n v="1"/>
    <n v="0.05"/>
    <n v="0.05"/>
  </r>
  <r>
    <x v="3"/>
    <n v="6"/>
    <s v="BPI-Bluegates-Daily Data Extraction for PowerBI"/>
    <s v="100% average completion per month"/>
    <s v="1 - 95%-100%_x000a_2 - 90%-94%_x000a_3 - 80%-89%_x000a_4 - 75%-79%_x000a_5 - =&lt;74%"/>
    <n v="1"/>
    <n v="1"/>
    <n v="1"/>
    <n v="0.05"/>
    <n v="0.05"/>
  </r>
  <r>
    <x v="3"/>
    <n v="7"/>
    <s v="OPS-Daily Data Extraction for PowerBI"/>
    <s v="100% average completion per month"/>
    <s v="1 - 95%-100%_x000a_2 - 90%-94%_x000a_3 - 80%-89%_x000a_4 - 75%-79%_x000a_5 - =&lt;74%"/>
    <n v="1"/>
    <n v="1"/>
    <n v="1"/>
    <n v="0.05"/>
    <n v="0.05"/>
  </r>
  <r>
    <x v="3"/>
    <n v="8"/>
    <s v="System Support Management(Ticket Base-Call, Chat)"/>
    <s v="100% closed ticket per month"/>
    <s v="1 - 95%-100%_x000a_2 - 90%-94%_x000a_3 - 80%-89%_x000a_4 - 75%-79%_x000a_5 - =&lt;74%"/>
    <n v="1"/>
    <n v="1"/>
    <n v="1"/>
    <n v="0.15"/>
    <n v="0.15"/>
  </r>
  <r>
    <x v="3"/>
    <n v="9"/>
    <s v="System Support Management(Ticket Base-Request Forms)"/>
    <s v="100% closed ticket per month"/>
    <s v="1 - 95%-100%_x000a_2 - 90%-94%_x000a_3 - 80%-89%_x000a_4 - 75%-79%_x000a_5 - =&lt;74%"/>
    <n v="1"/>
    <n v="1"/>
    <n v="1"/>
    <n v="0.15"/>
    <n v="0.15"/>
  </r>
  <r>
    <x v="3"/>
    <n v="10"/>
    <s v="System Support Management(User Feedback/Survey)"/>
    <s v="Consolidated and average monthly user feedback/survey rating"/>
    <s v="1 - Excellent_x000a_2 - Very Good_x000a_3 - Good_x000a_4 - Acceptable_x000a_5 - Unacceptable"/>
    <n v="1"/>
    <n v="1"/>
    <n v="1"/>
    <n v="0.05"/>
    <n v="0.05"/>
  </r>
  <r>
    <x v="3"/>
    <n v="11"/>
    <s v="Resources Utilization Monitoring (RDS-SQL DBs, VPS)"/>
    <s v="Monthly average utilization of &lt; 50%"/>
    <s v="1 - =&lt; 50%_x000a_2 - 51%-60%_x000a_3 - 61%-70%_x000a_4 - 71%-80%_x000a_5 - 81% and up"/>
    <n v="1"/>
    <n v="1"/>
    <n v="1"/>
    <n v="0.15"/>
    <n v="0.15"/>
  </r>
  <r>
    <x v="3"/>
    <n v="12"/>
    <s v="MS 365 Sharepoint Storage Utilization"/>
    <s v="Monthly average utilization of &lt; 60%"/>
    <s v="1 - =&lt; 60%_x000a_2 - 61%-70%_x000a_3 - 71%-80%_x000a_4 - 81%-90%_x000a_5 - 91% and up"/>
    <n v="1"/>
    <n v="1"/>
    <n v="1"/>
    <n v="0.05"/>
    <n v="0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9DB62-5A81-4639-A26D-21B2123C2158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ONTH ">
  <location ref="H2:I5" firstHeaderRow="1" firstDataRow="1" firstDataCol="1"/>
  <pivotFields count="10">
    <pivotField axis="axisRow" showAll="0">
      <items count="5">
        <item n="April" x="0"/>
        <item n="May" x="2"/>
        <item n="June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FINAL SCORE " fld="9" baseField="0" baseItem="0" numFmtId="9"/>
  </dataFields>
  <formats count="33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0" type="button" dataOnly="0" labelOnly="1" outline="0" axis="axisRow" fieldPosition="0"/>
    </format>
    <format dxfId="37">
      <pivotArea dataOnly="0" labelOnly="1" outline="0" axis="axisValues" fieldPosition="0"/>
    </format>
    <format dxfId="36">
      <pivotArea field="0" type="button" dataOnly="0" labelOnly="1" outline="0" axis="axisRow" fieldPosition="0"/>
    </format>
    <format dxfId="35">
      <pivotArea dataOnly="0" labelOnly="1" outline="0" axis="axisValues" fieldPosition="0"/>
    </format>
    <format dxfId="34">
      <pivotArea field="0" type="button" dataOnly="0" labelOnly="1" outline="0" axis="axisRow" fieldPosition="0"/>
    </format>
    <format dxfId="33">
      <pivotArea dataOnly="0" labelOnly="1" outline="0" axis="axisValues" fieldPosition="0"/>
    </format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0" type="button" dataOnly="0" labelOnly="1" outline="0" axis="axisRow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outline="0" axis="axisValues" fieldPosition="0"/>
    </format>
    <format dxfId="21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outline="0" axis="axisValues" fieldPosition="0"/>
    </format>
    <format dxfId="10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D637-3264-401C-9392-FC3E6DD5A8ED}">
  <dimension ref="B6:C12"/>
  <sheetViews>
    <sheetView workbookViewId="0">
      <selection activeCell="H9" sqref="H9"/>
    </sheetView>
  </sheetViews>
  <sheetFormatPr defaultColWidth="9.109375" defaultRowHeight="14.4" x14ac:dyDescent="0.3"/>
  <cols>
    <col min="1" max="1" width="9.109375" style="1"/>
    <col min="2" max="2" width="3.6640625" style="1" customWidth="1"/>
    <col min="3" max="16384" width="9.109375" style="1"/>
  </cols>
  <sheetData>
    <row r="6" spans="2:3" x14ac:dyDescent="0.3">
      <c r="B6" s="3"/>
      <c r="C6" s="1" t="s">
        <v>0</v>
      </c>
    </row>
    <row r="8" spans="2:3" x14ac:dyDescent="0.3">
      <c r="B8" s="2"/>
      <c r="C8" s="1" t="s">
        <v>1</v>
      </c>
    </row>
    <row r="10" spans="2:3" x14ac:dyDescent="0.3">
      <c r="B10" s="4"/>
      <c r="C10" s="1" t="s">
        <v>2</v>
      </c>
    </row>
    <row r="12" spans="2:3" x14ac:dyDescent="0.3">
      <c r="B12" s="5"/>
      <c r="C1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2DBC-DB13-4ACD-A0A0-24FD76F4CB96}">
  <sheetPr>
    <tabColor theme="2" tint="-0.499984740745262"/>
  </sheetPr>
  <dimension ref="B4:AE12"/>
  <sheetViews>
    <sheetView zoomScale="130" zoomScaleNormal="130" workbookViewId="0">
      <pane xSplit="30" ySplit="6" topLeftCell="AE7" activePane="bottomRight" state="frozen"/>
      <selection pane="topRight" activeCell="AF1" sqref="AF1"/>
      <selection pane="bottomLeft" activeCell="A7" sqref="A7"/>
      <selection pane="bottomRight" activeCell="Y17" sqref="Y17"/>
    </sheetView>
  </sheetViews>
  <sheetFormatPr defaultRowHeight="14.4" x14ac:dyDescent="0.3"/>
  <cols>
    <col min="1" max="1" width="3.33203125" customWidth="1"/>
    <col min="2" max="2" width="10.88671875" bestFit="1" customWidth="1"/>
    <col min="3" max="8" width="3.6640625" bestFit="1" customWidth="1"/>
    <col min="9" max="9" width="3.6640625" customWidth="1"/>
    <col min="10" max="28" width="3.6640625" bestFit="1" customWidth="1"/>
    <col min="29" max="29" width="3.6640625" style="7" customWidth="1"/>
    <col min="30" max="30" width="6.6640625" style="8" hidden="1" customWidth="1"/>
    <col min="31" max="31" width="11.33203125" style="8" hidden="1" customWidth="1"/>
  </cols>
  <sheetData>
    <row r="4" spans="2:31" ht="15" thickBot="1" x14ac:dyDescent="0.35"/>
    <row r="5" spans="2:31" x14ac:dyDescent="0.3">
      <c r="B5" s="11"/>
      <c r="C5" s="24" t="s">
        <v>0</v>
      </c>
      <c r="D5" s="24"/>
      <c r="E5" s="24"/>
      <c r="F5" s="24"/>
      <c r="G5" s="24"/>
      <c r="H5" s="24"/>
      <c r="I5" s="24"/>
      <c r="J5" s="24" t="s">
        <v>4</v>
      </c>
      <c r="K5" s="24"/>
      <c r="L5" s="24"/>
      <c r="M5" s="24"/>
      <c r="N5" s="24"/>
      <c r="O5" s="24"/>
      <c r="P5" s="24"/>
      <c r="Q5" s="24" t="s">
        <v>2</v>
      </c>
      <c r="R5" s="24"/>
      <c r="S5" s="24"/>
      <c r="T5" s="24"/>
      <c r="U5" s="24"/>
      <c r="V5" s="24"/>
      <c r="W5" s="24"/>
      <c r="X5" s="24" t="s">
        <v>5</v>
      </c>
      <c r="Y5" s="24"/>
      <c r="Z5" s="24"/>
      <c r="AA5" s="24"/>
      <c r="AB5" s="24"/>
      <c r="AC5" s="12"/>
    </row>
    <row r="6" spans="2:31" ht="58.2" x14ac:dyDescent="0.3">
      <c r="B6" s="13" t="s">
        <v>6</v>
      </c>
      <c r="C6" s="14" t="s">
        <v>7</v>
      </c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14" t="s">
        <v>13</v>
      </c>
      <c r="J6" s="15" t="s">
        <v>14</v>
      </c>
      <c r="K6" s="15" t="s">
        <v>15</v>
      </c>
      <c r="L6" s="15" t="s">
        <v>16</v>
      </c>
      <c r="M6" s="15" t="s">
        <v>17</v>
      </c>
      <c r="N6" s="15" t="s">
        <v>18</v>
      </c>
      <c r="O6" s="15" t="s">
        <v>19</v>
      </c>
      <c r="P6" s="15" t="s">
        <v>20</v>
      </c>
      <c r="Q6" s="16" t="s">
        <v>21</v>
      </c>
      <c r="R6" s="16" t="s">
        <v>22</v>
      </c>
      <c r="S6" s="16" t="s">
        <v>23</v>
      </c>
      <c r="T6" s="16" t="s">
        <v>24</v>
      </c>
      <c r="U6" s="16" t="s">
        <v>25</v>
      </c>
      <c r="V6" s="16" t="s">
        <v>26</v>
      </c>
      <c r="W6" s="16" t="s">
        <v>27</v>
      </c>
      <c r="X6" s="17" t="s">
        <v>28</v>
      </c>
      <c r="Y6" s="17" t="s">
        <v>20</v>
      </c>
      <c r="Z6" s="17" t="s">
        <v>29</v>
      </c>
      <c r="AA6" s="17" t="s">
        <v>30</v>
      </c>
      <c r="AB6" s="17" t="s">
        <v>31</v>
      </c>
      <c r="AC6" s="18" t="s">
        <v>32</v>
      </c>
      <c r="AD6" s="9" t="s">
        <v>33</v>
      </c>
      <c r="AE6" s="10" t="s">
        <v>34</v>
      </c>
    </row>
    <row r="7" spans="2:31" x14ac:dyDescent="0.3">
      <c r="B7" s="19" t="s">
        <v>35</v>
      </c>
      <c r="N7">
        <v>1</v>
      </c>
      <c r="W7">
        <v>1</v>
      </c>
      <c r="AB7">
        <v>1</v>
      </c>
      <c r="AC7" s="20"/>
      <c r="AD7" s="8">
        <f t="shared" ref="AD7:AD12" si="0">SUM(C7:AC7)</f>
        <v>3</v>
      </c>
      <c r="AE7" s="8">
        <v>25000</v>
      </c>
    </row>
    <row r="8" spans="2:31" x14ac:dyDescent="0.3">
      <c r="B8" s="19" t="s">
        <v>36</v>
      </c>
      <c r="L8">
        <v>1</v>
      </c>
      <c r="N8">
        <v>1</v>
      </c>
      <c r="W8">
        <v>1</v>
      </c>
      <c r="AB8">
        <v>1</v>
      </c>
      <c r="AC8" s="20"/>
      <c r="AD8" s="8">
        <f t="shared" si="0"/>
        <v>4</v>
      </c>
      <c r="AE8" s="8">
        <f>5000+(4*150)</f>
        <v>5600</v>
      </c>
    </row>
    <row r="9" spans="2:31" ht="15" thickBot="1" x14ac:dyDescent="0.35">
      <c r="B9" s="21" t="s">
        <v>37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3"/>
      <c r="AD9" s="8">
        <f t="shared" si="0"/>
        <v>0</v>
      </c>
    </row>
    <row r="10" spans="2:31" hidden="1" x14ac:dyDescent="0.3">
      <c r="B10" t="s">
        <v>38</v>
      </c>
      <c r="AD10" s="8">
        <f t="shared" si="0"/>
        <v>0</v>
      </c>
      <c r="AE10" s="8">
        <v>799</v>
      </c>
    </row>
    <row r="11" spans="2:31" hidden="1" x14ac:dyDescent="0.3">
      <c r="B11" t="s">
        <v>39</v>
      </c>
      <c r="AD11" s="8">
        <f t="shared" si="0"/>
        <v>0</v>
      </c>
      <c r="AE11" s="8">
        <f>5000+500</f>
        <v>5500</v>
      </c>
    </row>
    <row r="12" spans="2:31" hidden="1" x14ac:dyDescent="0.3">
      <c r="B12" t="s">
        <v>40</v>
      </c>
      <c r="AD12" s="8">
        <f t="shared" si="0"/>
        <v>0</v>
      </c>
      <c r="AE12" s="8">
        <f>3000+500</f>
        <v>3500</v>
      </c>
    </row>
  </sheetData>
  <mergeCells count="4">
    <mergeCell ref="C5:I5"/>
    <mergeCell ref="J5:P5"/>
    <mergeCell ref="X5:AB5"/>
    <mergeCell ref="Q5:W5"/>
  </mergeCells>
  <phoneticPr fontId="3" type="noConversion"/>
  <conditionalFormatting sqref="C7:AC12">
    <cfRule type="iconSet" priority="2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8C5D-2226-4050-B4F1-20F07C5BDFC3}">
  <sheetPr>
    <tabColor theme="7" tint="-0.499984740745262"/>
  </sheetPr>
  <dimension ref="A1"/>
  <sheetViews>
    <sheetView workbookViewId="0">
      <selection activeCell="S12" sqref="S12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AA64-A0F3-4F46-9584-5225ADEFBE85}">
  <sheetPr>
    <tabColor rgb="FF7030A0"/>
    <pageSetUpPr fitToPage="1"/>
  </sheetPr>
  <dimension ref="B2:N45"/>
  <sheetViews>
    <sheetView showGridLines="0" tabSelected="1" zoomScale="85" zoomScaleNormal="85" workbookViewId="0">
      <selection activeCell="K43" sqref="K43"/>
    </sheetView>
  </sheetViews>
  <sheetFormatPr defaultColWidth="8.88671875" defaultRowHeight="13.8" x14ac:dyDescent="0.25"/>
  <cols>
    <col min="1" max="1" width="5.33203125" style="26" customWidth="1"/>
    <col min="2" max="2" width="20" style="26" bestFit="1" customWidth="1"/>
    <col min="3" max="3" width="14.88671875" style="46" customWidth="1"/>
    <col min="4" max="4" width="35" style="26" customWidth="1"/>
    <col min="5" max="5" width="58.44140625" style="26" customWidth="1"/>
    <col min="6" max="6" width="59.5546875" style="26" bestFit="1" customWidth="1"/>
    <col min="7" max="7" width="15.33203125" style="26" customWidth="1"/>
    <col min="8" max="8" width="15.6640625" style="26" bestFit="1" customWidth="1"/>
    <col min="9" max="9" width="15" style="26" bestFit="1" customWidth="1"/>
    <col min="10" max="10" width="20.88671875" style="26" customWidth="1"/>
    <col min="11" max="11" width="21" style="26" customWidth="1"/>
    <col min="12" max="12" width="17.88671875" style="26" bestFit="1" customWidth="1"/>
    <col min="13" max="13" width="26" style="26" bestFit="1" customWidth="1"/>
    <col min="14" max="16384" width="8.88671875" style="26"/>
  </cols>
  <sheetData>
    <row r="2" spans="2:14" x14ac:dyDescent="0.25">
      <c r="B2" s="33" t="s">
        <v>41</v>
      </c>
      <c r="C2" s="33"/>
      <c r="D2" s="34" t="s">
        <v>68</v>
      </c>
      <c r="E2" s="35" t="s">
        <v>42</v>
      </c>
      <c r="F2" s="36">
        <v>2025</v>
      </c>
      <c r="H2" s="25" t="s">
        <v>43</v>
      </c>
      <c r="I2" s="25" t="s">
        <v>44</v>
      </c>
      <c r="J2" s="37" t="s">
        <v>45</v>
      </c>
      <c r="K2" s="29"/>
    </row>
    <row r="3" spans="2:14" x14ac:dyDescent="0.25">
      <c r="B3" s="38" t="s">
        <v>46</v>
      </c>
      <c r="C3" s="38"/>
      <c r="D3" s="39" t="s">
        <v>69</v>
      </c>
      <c r="E3" s="40" t="s">
        <v>47</v>
      </c>
      <c r="F3" s="41" t="s">
        <v>66</v>
      </c>
      <c r="H3" s="27" t="s">
        <v>70</v>
      </c>
      <c r="I3" s="28">
        <v>1</v>
      </c>
      <c r="J3" s="42">
        <f>IF(I3&gt;=[4]Settings!$C$4,1,IF(I3&gt;=[4]Settings!$C$5,2,IF(I3&gt;=[4]Settings!$C$6,3,IF(I3&gt;=[4]Settings!$B$7,4,IF(I3&gt;=[4]Settings!$C$8,5)))))</f>
        <v>1</v>
      </c>
      <c r="K3" s="29"/>
    </row>
    <row r="4" spans="2:14" x14ac:dyDescent="0.25">
      <c r="B4" s="38" t="s">
        <v>48</v>
      </c>
      <c r="C4" s="38"/>
      <c r="D4" s="39" t="s">
        <v>65</v>
      </c>
      <c r="E4" s="40" t="s">
        <v>49</v>
      </c>
      <c r="F4" s="43">
        <v>45859</v>
      </c>
      <c r="H4" s="27" t="s">
        <v>71</v>
      </c>
      <c r="I4" s="28">
        <v>1</v>
      </c>
      <c r="J4" s="42">
        <f>IF(I4&gt;=[4]Settings!$C$4,1,IF(I4&gt;=[4]Settings!$C$5,2,IF(I4&gt;=[4]Settings!$C$6,3,IF(I4&gt;=[4]Settings!$B$7,4,IF(I4&gt;=[4]Settings!$C$8,5)))))</f>
        <v>1</v>
      </c>
      <c r="K4" s="29"/>
    </row>
    <row r="5" spans="2:14" x14ac:dyDescent="0.25">
      <c r="B5" s="38" t="s">
        <v>50</v>
      </c>
      <c r="C5" s="38"/>
      <c r="D5" s="39" t="s">
        <v>51</v>
      </c>
      <c r="E5" s="44" t="s">
        <v>52</v>
      </c>
      <c r="F5" s="45" t="s">
        <v>67</v>
      </c>
      <c r="H5" s="27" t="s">
        <v>72</v>
      </c>
      <c r="I5" s="28">
        <v>1.0000000000000002</v>
      </c>
      <c r="J5" s="42">
        <f>IF(I5&gt;=[4]Settings!$C$4,1,IF(I5&gt;=[4]Settings!$C$5,2,IF(I5&gt;=[4]Settings!$C$6,3,IF(I5&gt;=[4]Settings!$B$7,4,IF(I5&gt;=[4]Settings!$C$8,5)))))</f>
        <v>1</v>
      </c>
      <c r="K5" s="29"/>
    </row>
    <row r="6" spans="2:14" x14ac:dyDescent="0.25">
      <c r="D6" s="46"/>
      <c r="E6" s="46"/>
      <c r="F6" s="46"/>
      <c r="G6" s="46"/>
      <c r="H6" s="27"/>
      <c r="I6" s="27"/>
      <c r="J6" s="27"/>
      <c r="K6" s="29"/>
    </row>
    <row r="7" spans="2:14" s="48" customFormat="1" x14ac:dyDescent="0.25">
      <c r="B7" s="47" t="s">
        <v>53</v>
      </c>
      <c r="C7" s="47" t="s">
        <v>54</v>
      </c>
      <c r="D7" s="47" t="s">
        <v>55</v>
      </c>
      <c r="E7" s="47" t="s">
        <v>56</v>
      </c>
      <c r="F7" s="47" t="s">
        <v>57</v>
      </c>
      <c r="G7" s="47" t="s">
        <v>58</v>
      </c>
      <c r="H7" s="47" t="s">
        <v>59</v>
      </c>
      <c r="I7" s="47" t="s">
        <v>60</v>
      </c>
      <c r="J7" s="47" t="s">
        <v>61</v>
      </c>
      <c r="K7" s="47" t="s">
        <v>62</v>
      </c>
      <c r="L7" s="26"/>
      <c r="M7" s="26"/>
      <c r="N7" s="26"/>
    </row>
    <row r="8" spans="2:14" ht="86.25" customHeight="1" x14ac:dyDescent="0.25">
      <c r="B8" s="49" t="s">
        <v>70</v>
      </c>
      <c r="C8" s="50">
        <v>1</v>
      </c>
      <c r="D8" s="51" t="s">
        <v>103</v>
      </c>
      <c r="E8" s="32" t="s">
        <v>63</v>
      </c>
      <c r="F8" s="32" t="s">
        <v>64</v>
      </c>
      <c r="G8" s="52">
        <v>1</v>
      </c>
      <c r="H8" s="53">
        <v>1</v>
      </c>
      <c r="I8" s="54">
        <f>IFERROR(H8/G8,0)</f>
        <v>1</v>
      </c>
      <c r="J8" s="55">
        <v>0.12</v>
      </c>
      <c r="K8" s="54"/>
    </row>
    <row r="9" spans="2:14" ht="86.25" customHeight="1" x14ac:dyDescent="0.25">
      <c r="B9" s="49" t="s">
        <v>70</v>
      </c>
      <c r="C9" s="50">
        <v>2</v>
      </c>
      <c r="D9" s="51" t="s">
        <v>104</v>
      </c>
      <c r="E9" s="32" t="s">
        <v>63</v>
      </c>
      <c r="F9" s="32" t="s">
        <v>73</v>
      </c>
      <c r="G9" s="52">
        <v>1</v>
      </c>
      <c r="H9" s="53">
        <v>1</v>
      </c>
      <c r="I9" s="54">
        <f t="shared" ref="I9:I13" si="0">IFERROR(H9/G9,0)</f>
        <v>1</v>
      </c>
      <c r="J9" s="55">
        <v>0.1</v>
      </c>
      <c r="K9" s="54"/>
    </row>
    <row r="10" spans="2:14" ht="86.25" customHeight="1" x14ac:dyDescent="0.25">
      <c r="B10" s="49" t="s">
        <v>70</v>
      </c>
      <c r="C10" s="50">
        <v>3</v>
      </c>
      <c r="D10" s="51" t="s">
        <v>105</v>
      </c>
      <c r="E10" s="32" t="s">
        <v>63</v>
      </c>
      <c r="F10" s="32" t="s">
        <v>74</v>
      </c>
      <c r="G10" s="52">
        <v>1</v>
      </c>
      <c r="H10" s="53">
        <v>1</v>
      </c>
      <c r="I10" s="54">
        <f t="shared" si="0"/>
        <v>1</v>
      </c>
      <c r="J10" s="55">
        <v>0.12</v>
      </c>
      <c r="K10" s="54"/>
    </row>
    <row r="11" spans="2:14" ht="86.25" customHeight="1" x14ac:dyDescent="0.25">
      <c r="B11" s="49" t="s">
        <v>70</v>
      </c>
      <c r="C11" s="50">
        <v>4</v>
      </c>
      <c r="D11" s="51" t="s">
        <v>106</v>
      </c>
      <c r="E11" s="32" t="s">
        <v>63</v>
      </c>
      <c r="F11" s="32" t="s">
        <v>75</v>
      </c>
      <c r="G11" s="52">
        <v>1</v>
      </c>
      <c r="H11" s="53">
        <v>1</v>
      </c>
      <c r="I11" s="54">
        <f t="shared" si="0"/>
        <v>1</v>
      </c>
      <c r="J11" s="55">
        <v>0.08</v>
      </c>
      <c r="K11" s="54"/>
    </row>
    <row r="12" spans="2:14" ht="86.25" customHeight="1" x14ac:dyDescent="0.25">
      <c r="B12" s="49" t="s">
        <v>70</v>
      </c>
      <c r="C12" s="50">
        <v>5</v>
      </c>
      <c r="D12" s="51" t="s">
        <v>107</v>
      </c>
      <c r="E12" s="32" t="s">
        <v>63</v>
      </c>
      <c r="F12" s="32" t="s">
        <v>76</v>
      </c>
      <c r="G12" s="52">
        <v>1</v>
      </c>
      <c r="H12" s="53">
        <v>1</v>
      </c>
      <c r="I12" s="54">
        <f t="shared" si="0"/>
        <v>1</v>
      </c>
      <c r="J12" s="55">
        <v>0.08</v>
      </c>
      <c r="K12" s="54"/>
    </row>
    <row r="13" spans="2:14" ht="86.25" customHeight="1" x14ac:dyDescent="0.25">
      <c r="B13" s="49" t="s">
        <v>70</v>
      </c>
      <c r="C13" s="50">
        <v>6</v>
      </c>
      <c r="D13" s="51" t="s">
        <v>108</v>
      </c>
      <c r="E13" s="32" t="s">
        <v>63</v>
      </c>
      <c r="F13" s="32" t="s">
        <v>77</v>
      </c>
      <c r="G13" s="52">
        <v>1</v>
      </c>
      <c r="H13" s="53">
        <v>1</v>
      </c>
      <c r="I13" s="54">
        <f t="shared" si="0"/>
        <v>1</v>
      </c>
      <c r="J13" s="55">
        <v>0.05</v>
      </c>
      <c r="K13" s="54"/>
    </row>
    <row r="14" spans="2:14" ht="86.25" customHeight="1" x14ac:dyDescent="0.25">
      <c r="B14" s="49" t="s">
        <v>70</v>
      </c>
      <c r="C14" s="50">
        <v>7</v>
      </c>
      <c r="D14" s="51" t="s">
        <v>109</v>
      </c>
      <c r="E14" s="32" t="s">
        <v>63</v>
      </c>
      <c r="F14" s="32" t="s">
        <v>78</v>
      </c>
      <c r="G14" s="52">
        <v>1</v>
      </c>
      <c r="H14" s="53">
        <v>1</v>
      </c>
      <c r="I14" s="54">
        <f t="shared" ref="I14:I44" si="1">IFERROR(H14/G14,0)</f>
        <v>1</v>
      </c>
      <c r="J14" s="55">
        <v>0.1</v>
      </c>
      <c r="K14" s="54"/>
    </row>
    <row r="15" spans="2:14" ht="86.25" customHeight="1" x14ac:dyDescent="0.25">
      <c r="B15" s="49" t="s">
        <v>70</v>
      </c>
      <c r="C15" s="50">
        <v>8</v>
      </c>
      <c r="D15" s="56" t="s">
        <v>110</v>
      </c>
      <c r="E15" s="32" t="s">
        <v>63</v>
      </c>
      <c r="F15" s="32" t="s">
        <v>79</v>
      </c>
      <c r="G15" s="52">
        <v>1</v>
      </c>
      <c r="H15" s="53">
        <v>1</v>
      </c>
      <c r="I15" s="54">
        <f t="shared" si="1"/>
        <v>1</v>
      </c>
      <c r="J15" s="55">
        <v>0.06</v>
      </c>
      <c r="K15" s="54"/>
    </row>
    <row r="16" spans="2:14" ht="86.25" customHeight="1" x14ac:dyDescent="0.25">
      <c r="B16" s="49" t="s">
        <v>70</v>
      </c>
      <c r="C16" s="50">
        <v>9</v>
      </c>
      <c r="D16" s="57" t="s">
        <v>111</v>
      </c>
      <c r="E16" s="32" t="s">
        <v>63</v>
      </c>
      <c r="F16" s="32" t="s">
        <v>80</v>
      </c>
      <c r="G16" s="52">
        <v>1</v>
      </c>
      <c r="H16" s="53">
        <v>1</v>
      </c>
      <c r="I16" s="54">
        <f t="shared" si="1"/>
        <v>1</v>
      </c>
      <c r="J16" s="55">
        <v>0.05</v>
      </c>
      <c r="K16" s="54"/>
    </row>
    <row r="17" spans="2:11" ht="86.25" customHeight="1" x14ac:dyDescent="0.25">
      <c r="B17" s="49" t="s">
        <v>70</v>
      </c>
      <c r="C17" s="50">
        <v>10</v>
      </c>
      <c r="D17" s="57" t="s">
        <v>112</v>
      </c>
      <c r="E17" s="32" t="s">
        <v>63</v>
      </c>
      <c r="F17" s="32" t="s">
        <v>81</v>
      </c>
      <c r="G17" s="52">
        <v>1</v>
      </c>
      <c r="H17" s="53">
        <v>1</v>
      </c>
      <c r="I17" s="54">
        <f t="shared" si="1"/>
        <v>1</v>
      </c>
      <c r="J17" s="55">
        <v>0.08</v>
      </c>
      <c r="K17" s="54"/>
    </row>
    <row r="18" spans="2:11" ht="86.25" customHeight="1" x14ac:dyDescent="0.25">
      <c r="B18" s="49" t="s">
        <v>70</v>
      </c>
      <c r="C18" s="50">
        <v>11</v>
      </c>
      <c r="D18" s="57" t="s">
        <v>113</v>
      </c>
      <c r="E18" s="32" t="s">
        <v>63</v>
      </c>
      <c r="F18" s="32" t="s">
        <v>82</v>
      </c>
      <c r="G18" s="52">
        <v>1</v>
      </c>
      <c r="H18" s="53">
        <v>1</v>
      </c>
      <c r="I18" s="54">
        <f t="shared" si="1"/>
        <v>1</v>
      </c>
      <c r="J18" s="55">
        <v>0.08</v>
      </c>
      <c r="K18" s="54"/>
    </row>
    <row r="19" spans="2:11" ht="86.25" customHeight="1" x14ac:dyDescent="0.25">
      <c r="B19" s="49" t="s">
        <v>70</v>
      </c>
      <c r="C19" s="50">
        <v>12</v>
      </c>
      <c r="D19" s="56" t="s">
        <v>114</v>
      </c>
      <c r="E19" s="32" t="s">
        <v>63</v>
      </c>
      <c r="F19" s="32" t="s">
        <v>83</v>
      </c>
      <c r="G19" s="52">
        <v>1</v>
      </c>
      <c r="H19" s="53">
        <v>1</v>
      </c>
      <c r="I19" s="54">
        <f t="shared" si="1"/>
        <v>1</v>
      </c>
      <c r="J19" s="55">
        <v>0.08</v>
      </c>
      <c r="K19" s="54"/>
    </row>
    <row r="20" spans="2:11" x14ac:dyDescent="0.25">
      <c r="B20" s="58"/>
      <c r="C20" s="59"/>
      <c r="D20" s="58"/>
      <c r="E20" s="58"/>
      <c r="F20" s="58"/>
      <c r="G20" s="58"/>
      <c r="H20" s="58"/>
      <c r="I20" s="58"/>
      <c r="J20" s="58"/>
      <c r="K20" s="58"/>
    </row>
    <row r="21" spans="2:11" ht="86.25" customHeight="1" x14ac:dyDescent="0.25">
      <c r="B21" s="30" t="s">
        <v>71</v>
      </c>
      <c r="C21" s="31">
        <v>1</v>
      </c>
      <c r="D21" s="60" t="s">
        <v>115</v>
      </c>
      <c r="E21" s="32" t="s">
        <v>63</v>
      </c>
      <c r="F21" s="32" t="s">
        <v>83</v>
      </c>
      <c r="G21" s="52">
        <v>1</v>
      </c>
      <c r="H21" s="53">
        <v>1</v>
      </c>
      <c r="I21" s="54">
        <f t="shared" si="1"/>
        <v>1</v>
      </c>
      <c r="J21" s="61">
        <v>0.08</v>
      </c>
      <c r="K21" s="62"/>
    </row>
    <row r="22" spans="2:11" ht="86.25" customHeight="1" x14ac:dyDescent="0.25">
      <c r="B22" s="30" t="s">
        <v>71</v>
      </c>
      <c r="C22" s="31">
        <v>2</v>
      </c>
      <c r="D22" s="60" t="s">
        <v>84</v>
      </c>
      <c r="E22" s="32" t="s">
        <v>63</v>
      </c>
      <c r="F22" s="32" t="s">
        <v>93</v>
      </c>
      <c r="G22" s="52">
        <v>1</v>
      </c>
      <c r="H22" s="53">
        <v>1</v>
      </c>
      <c r="I22" s="54">
        <f t="shared" si="1"/>
        <v>1</v>
      </c>
      <c r="J22" s="61">
        <v>0.1</v>
      </c>
      <c r="K22" s="62"/>
    </row>
    <row r="23" spans="2:11" ht="86.25" customHeight="1" x14ac:dyDescent="0.25">
      <c r="B23" s="30" t="s">
        <v>71</v>
      </c>
      <c r="C23" s="31">
        <v>3</v>
      </c>
      <c r="D23" s="63" t="s">
        <v>85</v>
      </c>
      <c r="E23" s="32" t="s">
        <v>63</v>
      </c>
      <c r="F23" s="32" t="s">
        <v>94</v>
      </c>
      <c r="G23" s="52">
        <v>1</v>
      </c>
      <c r="H23" s="53">
        <v>1</v>
      </c>
      <c r="I23" s="54">
        <f t="shared" si="1"/>
        <v>1</v>
      </c>
      <c r="J23" s="61">
        <v>7.0000000000000007E-2</v>
      </c>
      <c r="K23" s="62"/>
    </row>
    <row r="24" spans="2:11" ht="86.25" customHeight="1" x14ac:dyDescent="0.25">
      <c r="B24" s="30" t="s">
        <v>71</v>
      </c>
      <c r="C24" s="31">
        <v>4</v>
      </c>
      <c r="D24" s="63" t="s">
        <v>86</v>
      </c>
      <c r="E24" s="32" t="s">
        <v>63</v>
      </c>
      <c r="F24" s="32" t="s">
        <v>95</v>
      </c>
      <c r="G24" s="52">
        <v>1</v>
      </c>
      <c r="H24" s="53">
        <v>1</v>
      </c>
      <c r="I24" s="54">
        <f t="shared" si="1"/>
        <v>1</v>
      </c>
      <c r="J24" s="61">
        <v>0.1</v>
      </c>
      <c r="K24" s="62"/>
    </row>
    <row r="25" spans="2:11" ht="86.25" customHeight="1" x14ac:dyDescent="0.25">
      <c r="B25" s="30" t="s">
        <v>71</v>
      </c>
      <c r="C25" s="31">
        <v>5</v>
      </c>
      <c r="D25" s="57" t="s">
        <v>116</v>
      </c>
      <c r="E25" s="32" t="s">
        <v>63</v>
      </c>
      <c r="F25" s="32" t="s">
        <v>96</v>
      </c>
      <c r="G25" s="52">
        <v>1</v>
      </c>
      <c r="H25" s="53">
        <v>1</v>
      </c>
      <c r="I25" s="54">
        <f t="shared" si="1"/>
        <v>1</v>
      </c>
      <c r="J25" s="62">
        <v>0.08</v>
      </c>
    </row>
    <row r="26" spans="2:11" ht="86.25" customHeight="1" x14ac:dyDescent="0.25">
      <c r="B26" s="30" t="s">
        <v>71</v>
      </c>
      <c r="C26" s="31">
        <v>6</v>
      </c>
      <c r="D26" s="64" t="s">
        <v>87</v>
      </c>
      <c r="E26" s="32" t="s">
        <v>63</v>
      </c>
      <c r="F26" s="32" t="s">
        <v>97</v>
      </c>
      <c r="G26" s="52">
        <v>1</v>
      </c>
      <c r="H26" s="53">
        <v>1</v>
      </c>
      <c r="I26" s="54">
        <f t="shared" si="1"/>
        <v>1</v>
      </c>
      <c r="J26" s="61">
        <v>0.12</v>
      </c>
      <c r="K26" s="62"/>
    </row>
    <row r="27" spans="2:11" ht="86.25" customHeight="1" x14ac:dyDescent="0.25">
      <c r="B27" s="30" t="s">
        <v>71</v>
      </c>
      <c r="C27" s="31">
        <v>7</v>
      </c>
      <c r="D27" s="64" t="s">
        <v>88</v>
      </c>
      <c r="E27" s="32" t="s">
        <v>63</v>
      </c>
      <c r="F27" s="32" t="s">
        <v>98</v>
      </c>
      <c r="G27" s="52">
        <v>1</v>
      </c>
      <c r="H27" s="53">
        <v>1</v>
      </c>
      <c r="I27" s="54">
        <f t="shared" si="1"/>
        <v>1</v>
      </c>
      <c r="J27" s="61">
        <v>0.06</v>
      </c>
      <c r="K27" s="62"/>
    </row>
    <row r="28" spans="2:11" ht="86.25" customHeight="1" x14ac:dyDescent="0.25">
      <c r="B28" s="30" t="s">
        <v>71</v>
      </c>
      <c r="C28" s="31">
        <v>8</v>
      </c>
      <c r="D28" s="65" t="s">
        <v>89</v>
      </c>
      <c r="E28" s="32" t="s">
        <v>63</v>
      </c>
      <c r="F28" s="32" t="s">
        <v>99</v>
      </c>
      <c r="G28" s="52">
        <v>1</v>
      </c>
      <c r="H28" s="53">
        <v>1</v>
      </c>
      <c r="I28" s="54">
        <f t="shared" si="1"/>
        <v>1</v>
      </c>
      <c r="J28" s="61">
        <v>0.08</v>
      </c>
      <c r="K28" s="62"/>
    </row>
    <row r="29" spans="2:11" ht="86.25" customHeight="1" x14ac:dyDescent="0.25">
      <c r="B29" s="30" t="s">
        <v>71</v>
      </c>
      <c r="C29" s="31">
        <v>9</v>
      </c>
      <c r="D29" s="65" t="s">
        <v>90</v>
      </c>
      <c r="E29" s="32" t="s">
        <v>63</v>
      </c>
      <c r="F29" s="32" t="s">
        <v>100</v>
      </c>
      <c r="G29" s="52">
        <v>1</v>
      </c>
      <c r="H29" s="53">
        <v>1</v>
      </c>
      <c r="I29" s="54">
        <f t="shared" si="1"/>
        <v>1</v>
      </c>
      <c r="J29" s="61">
        <v>0.08</v>
      </c>
      <c r="K29" s="62"/>
    </row>
    <row r="30" spans="2:11" ht="86.25" customHeight="1" x14ac:dyDescent="0.25">
      <c r="B30" s="30" t="s">
        <v>71</v>
      </c>
      <c r="C30" s="31">
        <v>10</v>
      </c>
      <c r="D30" s="65" t="s">
        <v>91</v>
      </c>
      <c r="E30" s="32" t="s">
        <v>63</v>
      </c>
      <c r="F30" s="32" t="s">
        <v>101</v>
      </c>
      <c r="G30" s="52">
        <v>1</v>
      </c>
      <c r="H30" s="53">
        <v>1</v>
      </c>
      <c r="I30" s="54">
        <f t="shared" si="1"/>
        <v>1</v>
      </c>
      <c r="J30" s="61">
        <v>0.05</v>
      </c>
      <c r="K30" s="62"/>
    </row>
    <row r="31" spans="2:11" ht="86.25" customHeight="1" x14ac:dyDescent="0.25">
      <c r="B31" s="30" t="s">
        <v>71</v>
      </c>
      <c r="C31" s="31">
        <v>11</v>
      </c>
      <c r="D31" s="64" t="s">
        <v>92</v>
      </c>
      <c r="E31" s="32" t="s">
        <v>63</v>
      </c>
      <c r="F31" s="32" t="s">
        <v>102</v>
      </c>
      <c r="G31" s="52">
        <v>1</v>
      </c>
      <c r="H31" s="53">
        <v>1</v>
      </c>
      <c r="I31" s="54">
        <f t="shared" si="1"/>
        <v>1</v>
      </c>
      <c r="J31" s="61">
        <v>0.1</v>
      </c>
      <c r="K31" s="62"/>
    </row>
    <row r="32" spans="2:11" x14ac:dyDescent="0.25">
      <c r="B32" s="58"/>
      <c r="C32" s="59"/>
      <c r="D32" s="58"/>
      <c r="E32" s="58"/>
      <c r="F32" s="58"/>
      <c r="G32" s="58"/>
      <c r="H32" s="58"/>
      <c r="I32" s="58"/>
      <c r="J32" s="58"/>
      <c r="K32" s="58"/>
    </row>
    <row r="33" spans="2:11" ht="86.25" customHeight="1" x14ac:dyDescent="0.25">
      <c r="B33" s="26" t="s">
        <v>72</v>
      </c>
      <c r="C33" s="29">
        <v>1</v>
      </c>
      <c r="D33" s="67" t="s">
        <v>117</v>
      </c>
      <c r="E33" s="32" t="s">
        <v>63</v>
      </c>
      <c r="F33" s="32" t="s">
        <v>102</v>
      </c>
      <c r="G33" s="52">
        <v>1</v>
      </c>
      <c r="H33" s="53">
        <v>1</v>
      </c>
      <c r="I33" s="54">
        <f t="shared" si="1"/>
        <v>1</v>
      </c>
      <c r="J33" s="61">
        <v>0.04</v>
      </c>
      <c r="K33" s="62"/>
    </row>
    <row r="34" spans="2:11" ht="86.25" customHeight="1" x14ac:dyDescent="0.25">
      <c r="B34" s="26" t="s">
        <v>72</v>
      </c>
      <c r="C34" s="29">
        <v>2</v>
      </c>
      <c r="D34" s="68" t="s">
        <v>118</v>
      </c>
      <c r="E34" s="32" t="s">
        <v>63</v>
      </c>
      <c r="F34" s="32" t="s">
        <v>120</v>
      </c>
      <c r="G34" s="52">
        <v>1</v>
      </c>
      <c r="H34" s="53">
        <v>1</v>
      </c>
      <c r="I34" s="54">
        <f t="shared" si="1"/>
        <v>1</v>
      </c>
      <c r="J34" s="61">
        <v>0.08</v>
      </c>
      <c r="K34" s="62"/>
    </row>
    <row r="35" spans="2:11" ht="86.25" customHeight="1" x14ac:dyDescent="0.25">
      <c r="B35" s="26" t="s">
        <v>72</v>
      </c>
      <c r="C35" s="29">
        <v>3</v>
      </c>
      <c r="D35" s="51" t="s">
        <v>119</v>
      </c>
      <c r="E35" s="32" t="s">
        <v>63</v>
      </c>
      <c r="F35" s="32" t="s">
        <v>121</v>
      </c>
      <c r="G35" s="52">
        <v>1</v>
      </c>
      <c r="H35" s="53">
        <v>1</v>
      </c>
      <c r="I35" s="54">
        <f t="shared" si="1"/>
        <v>1</v>
      </c>
      <c r="J35" s="61">
        <v>0.08</v>
      </c>
      <c r="K35" s="62"/>
    </row>
    <row r="36" spans="2:11" ht="86.25" customHeight="1" x14ac:dyDescent="0.25">
      <c r="B36" s="26" t="s">
        <v>72</v>
      </c>
      <c r="C36" s="29">
        <v>4</v>
      </c>
      <c r="D36" s="56" t="s">
        <v>132</v>
      </c>
      <c r="E36" s="32" t="s">
        <v>63</v>
      </c>
      <c r="F36" s="32" t="s">
        <v>122</v>
      </c>
      <c r="G36" s="52">
        <v>1</v>
      </c>
      <c r="H36" s="53">
        <v>1</v>
      </c>
      <c r="I36" s="54">
        <f t="shared" si="1"/>
        <v>1</v>
      </c>
      <c r="J36" s="61">
        <v>0.1</v>
      </c>
      <c r="K36" s="62"/>
    </row>
    <row r="37" spans="2:11" ht="86.25" customHeight="1" x14ac:dyDescent="0.25">
      <c r="B37" s="26" t="s">
        <v>72</v>
      </c>
      <c r="C37" s="29">
        <v>5</v>
      </c>
      <c r="D37" s="56" t="s">
        <v>133</v>
      </c>
      <c r="E37" s="32" t="s">
        <v>63</v>
      </c>
      <c r="F37" s="32" t="s">
        <v>123</v>
      </c>
      <c r="G37" s="52">
        <v>1</v>
      </c>
      <c r="H37" s="53">
        <v>1</v>
      </c>
      <c r="I37" s="54">
        <f t="shared" si="1"/>
        <v>1</v>
      </c>
      <c r="J37" s="61">
        <v>0.12</v>
      </c>
      <c r="K37" s="62"/>
    </row>
    <row r="38" spans="2:11" ht="86.25" customHeight="1" x14ac:dyDescent="0.25">
      <c r="B38" s="26" t="s">
        <v>72</v>
      </c>
      <c r="C38" s="29">
        <v>6</v>
      </c>
      <c r="D38" s="56" t="s">
        <v>134</v>
      </c>
      <c r="E38" s="32" t="s">
        <v>63</v>
      </c>
      <c r="F38" s="32" t="s">
        <v>124</v>
      </c>
      <c r="G38" s="52">
        <v>1</v>
      </c>
      <c r="H38" s="53">
        <v>1</v>
      </c>
      <c r="I38" s="54">
        <f t="shared" si="1"/>
        <v>1</v>
      </c>
      <c r="J38" s="61">
        <v>0.13</v>
      </c>
      <c r="K38" s="62"/>
    </row>
    <row r="39" spans="2:11" ht="86.25" customHeight="1" x14ac:dyDescent="0.25">
      <c r="B39" s="26" t="s">
        <v>72</v>
      </c>
      <c r="C39" s="29">
        <v>7</v>
      </c>
      <c r="D39" s="51" t="s">
        <v>135</v>
      </c>
      <c r="E39" s="32" t="s">
        <v>63</v>
      </c>
      <c r="F39" s="32" t="s">
        <v>125</v>
      </c>
      <c r="G39" s="52">
        <v>1</v>
      </c>
      <c r="H39" s="53">
        <v>1</v>
      </c>
      <c r="I39" s="54">
        <f t="shared" si="1"/>
        <v>1</v>
      </c>
      <c r="J39" s="61">
        <v>7.0000000000000007E-2</v>
      </c>
      <c r="K39" s="62"/>
    </row>
    <row r="40" spans="2:11" ht="86.25" customHeight="1" x14ac:dyDescent="0.25">
      <c r="B40" s="26" t="s">
        <v>72</v>
      </c>
      <c r="C40" s="29">
        <v>8</v>
      </c>
      <c r="D40" s="51" t="s">
        <v>136</v>
      </c>
      <c r="E40" s="32" t="s">
        <v>63</v>
      </c>
      <c r="F40" s="32" t="s">
        <v>126</v>
      </c>
      <c r="G40" s="52">
        <v>1</v>
      </c>
      <c r="H40" s="53">
        <v>1</v>
      </c>
      <c r="I40" s="54">
        <f t="shared" si="1"/>
        <v>1</v>
      </c>
      <c r="J40" s="61">
        <v>7.0000000000000007E-2</v>
      </c>
      <c r="K40" s="62"/>
    </row>
    <row r="41" spans="2:11" ht="86.25" customHeight="1" x14ac:dyDescent="0.25">
      <c r="B41" s="26" t="s">
        <v>72</v>
      </c>
      <c r="C41" s="29">
        <v>9</v>
      </c>
      <c r="D41" s="51" t="s">
        <v>137</v>
      </c>
      <c r="E41" s="32" t="s">
        <v>63</v>
      </c>
      <c r="F41" s="32" t="s">
        <v>127</v>
      </c>
      <c r="G41" s="52">
        <v>1</v>
      </c>
      <c r="H41" s="53">
        <v>1</v>
      </c>
      <c r="I41" s="54">
        <f t="shared" si="1"/>
        <v>1</v>
      </c>
      <c r="J41" s="61">
        <v>0.06</v>
      </c>
      <c r="K41" s="62"/>
    </row>
    <row r="42" spans="2:11" ht="86.25" customHeight="1" x14ac:dyDescent="0.25">
      <c r="B42" s="26" t="s">
        <v>72</v>
      </c>
      <c r="C42" s="29">
        <v>10</v>
      </c>
      <c r="D42" s="51" t="s">
        <v>138</v>
      </c>
      <c r="E42" s="32" t="s">
        <v>63</v>
      </c>
      <c r="F42" s="32" t="s">
        <v>128</v>
      </c>
      <c r="G42" s="52">
        <v>1</v>
      </c>
      <c r="H42" s="53">
        <v>1</v>
      </c>
      <c r="I42" s="54">
        <f t="shared" si="1"/>
        <v>1</v>
      </c>
      <c r="J42" s="61">
        <v>0.05</v>
      </c>
      <c r="K42" s="62"/>
    </row>
    <row r="43" spans="2:11" ht="86.25" customHeight="1" x14ac:dyDescent="0.25">
      <c r="B43" s="26" t="s">
        <v>72</v>
      </c>
      <c r="C43" s="29">
        <v>11</v>
      </c>
      <c r="D43" s="51" t="s">
        <v>139</v>
      </c>
      <c r="E43" s="32" t="s">
        <v>63</v>
      </c>
      <c r="F43" s="32" t="s">
        <v>129</v>
      </c>
      <c r="G43" s="52">
        <v>1</v>
      </c>
      <c r="H43" s="53">
        <v>1</v>
      </c>
      <c r="I43" s="54">
        <f t="shared" si="1"/>
        <v>1</v>
      </c>
      <c r="J43" s="61">
        <v>7.0000000000000007E-2</v>
      </c>
      <c r="K43" s="62"/>
    </row>
    <row r="44" spans="2:11" ht="86.25" customHeight="1" x14ac:dyDescent="0.25">
      <c r="B44" s="26" t="s">
        <v>72</v>
      </c>
      <c r="C44" s="29">
        <v>12</v>
      </c>
      <c r="D44" s="68" t="s">
        <v>131</v>
      </c>
      <c r="E44" s="32" t="s">
        <v>63</v>
      </c>
      <c r="F44" s="32" t="s">
        <v>130</v>
      </c>
      <c r="G44" s="52">
        <v>1</v>
      </c>
      <c r="H44" s="53">
        <v>1</v>
      </c>
      <c r="I44" s="54">
        <f t="shared" si="1"/>
        <v>1</v>
      </c>
      <c r="J44" s="66">
        <v>0.08</v>
      </c>
      <c r="K44" s="62"/>
    </row>
    <row r="45" spans="2:11" x14ac:dyDescent="0.25">
      <c r="B45" s="58"/>
      <c r="C45" s="59"/>
      <c r="D45" s="58"/>
      <c r="E45" s="58"/>
      <c r="F45" s="58"/>
      <c r="G45" s="58"/>
      <c r="H45" s="58"/>
      <c r="I45" s="58"/>
      <c r="J45" s="58"/>
      <c r="K45" s="58"/>
    </row>
  </sheetData>
  <phoneticPr fontId="3" type="noConversion"/>
  <pageMargins left="0.7" right="0.7" top="0.75" bottom="0.75" header="0.3" footer="0.3"/>
  <pageSetup paperSize="5" scale="40" fitToHeight="0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9DE8-6996-4424-BF11-7355129F88FA}">
  <dimension ref="B4:D8"/>
  <sheetViews>
    <sheetView workbookViewId="0">
      <selection activeCell="G18" sqref="G18"/>
    </sheetView>
  </sheetViews>
  <sheetFormatPr defaultRowHeight="14.4" x14ac:dyDescent="0.3"/>
  <sheetData>
    <row r="4" spans="2:4" x14ac:dyDescent="0.3">
      <c r="B4">
        <v>1</v>
      </c>
      <c r="C4" s="6">
        <v>0.95</v>
      </c>
      <c r="D4" s="6">
        <v>1</v>
      </c>
    </row>
    <row r="5" spans="2:4" x14ac:dyDescent="0.3">
      <c r="B5">
        <v>2</v>
      </c>
      <c r="C5" s="6">
        <v>0.9</v>
      </c>
      <c r="D5" s="6">
        <v>0.94</v>
      </c>
    </row>
    <row r="6" spans="2:4" x14ac:dyDescent="0.3">
      <c r="B6">
        <v>3</v>
      </c>
      <c r="C6" s="6">
        <v>0.8</v>
      </c>
      <c r="D6" s="6">
        <v>0.89</v>
      </c>
    </row>
    <row r="7" spans="2:4" x14ac:dyDescent="0.3">
      <c r="B7">
        <v>4</v>
      </c>
      <c r="C7" s="6">
        <v>0.75</v>
      </c>
      <c r="D7" s="6">
        <v>0.79</v>
      </c>
    </row>
    <row r="8" spans="2:4" x14ac:dyDescent="0.3">
      <c r="B8">
        <v>5</v>
      </c>
      <c r="D8" s="6">
        <v>0.74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812E56D6720B49AD7A74B36369382F" ma:contentTypeVersion="14" ma:contentTypeDescription="Create a new document." ma:contentTypeScope="" ma:versionID="ac7ec11fe7d215942032c89919f2013d">
  <xsd:schema xmlns:xsd="http://www.w3.org/2001/XMLSchema" xmlns:xs="http://www.w3.org/2001/XMLSchema" xmlns:p="http://schemas.microsoft.com/office/2006/metadata/properties" xmlns:ns2="0e79ebc6-fbcd-4b9e-9829-571ea9e53369" xmlns:ns3="d69a5659-502d-4046-a869-ace48a16ec0c" targetNamespace="http://schemas.microsoft.com/office/2006/metadata/properties" ma:root="true" ma:fieldsID="8033dde1fe639392aebe01a3d1ef8f4e" ns2:_="" ns3:_="">
    <xsd:import namespace="0e79ebc6-fbcd-4b9e-9829-571ea9e53369"/>
    <xsd:import namespace="d69a5659-502d-4046-a869-ace48a16e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9ebc6-fbcd-4b9e-9829-571ea9e533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de76005-2e8f-4b74-8203-e9f67c85b4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a5659-502d-4046-a869-ace48a16ec0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d6affa9-3a01-4b87-a3e5-4d90f016b6d3}" ma:internalName="TaxCatchAll" ma:showField="CatchAllData" ma:web="d69a5659-502d-4046-a869-ace48a16e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9ebc6-fbcd-4b9e-9829-571ea9e53369">
      <Terms xmlns="http://schemas.microsoft.com/office/infopath/2007/PartnerControls"/>
    </lcf76f155ced4ddcb4097134ff3c332f>
    <TaxCatchAll xmlns="d69a5659-502d-4046-a869-ace48a16ec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16797-BBFB-4836-9F02-3F6F03A41F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79ebc6-fbcd-4b9e-9829-571ea9e53369"/>
    <ds:schemaRef ds:uri="d69a5659-502d-4046-a869-ace48a16ec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A94CCF-561D-46CC-8420-DD3B54B0CB37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0e79ebc6-fbcd-4b9e-9829-571ea9e53369"/>
    <ds:schemaRef ds:uri="http://schemas.microsoft.com/office/2006/metadata/properties"/>
    <ds:schemaRef ds:uri="http://purl.org/dc/dcmitype/"/>
    <ds:schemaRef ds:uri="d69a5659-502d-4046-a869-ace48a16ec0c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CF21C2C-8DA7-40B2-8475-67798C773E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Checklist</vt:lpstr>
      <vt:lpstr>Overall</vt:lpstr>
      <vt:lpstr>Jerome</vt:lpstr>
      <vt:lpstr>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Renz Binas</dc:creator>
  <cp:keywords/>
  <dc:description/>
  <cp:lastModifiedBy>Jonald Penpillo</cp:lastModifiedBy>
  <cp:revision/>
  <dcterms:created xsi:type="dcterms:W3CDTF">2023-07-27T06:37:08Z</dcterms:created>
  <dcterms:modified xsi:type="dcterms:W3CDTF">2025-09-24T03:03:56Z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0x010100D7812E56D6720B49AD7A74B36369382F</vt:lpwstr>
  </property>
</Properties>
</file>